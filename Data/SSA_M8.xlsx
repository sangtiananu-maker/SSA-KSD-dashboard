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06.SSA_ShareDrive\SSA-GenaralReport\Committion\Pharmma Alliance\"/>
    </mc:Choice>
  </mc:AlternateContent>
  <xr:revisionPtr revIDLastSave="0" documentId="13_ncr:1_{5D8BE70A-B23D-4BD5-80DE-487362C554BC}" xr6:coauthVersionLast="47" xr6:coauthVersionMax="47" xr10:uidLastSave="{00000000-0000-0000-0000-000000000000}"/>
  <bookViews>
    <workbookView xWindow="-108" yWindow="-108" windowWidth="23256" windowHeight="12576" activeTab="1" xr2:uid="{2E1A1D5C-60B9-4D16-BB10-BDCAB578B288}"/>
  </bookViews>
  <sheets>
    <sheet name="Total" sheetId="1" r:id="rId1"/>
    <sheet name="SSA1" sheetId="2" r:id="rId2"/>
    <sheet name="SSA2" sheetId="3" r:id="rId3"/>
    <sheet name="SSA3" sheetId="4" r:id="rId4"/>
    <sheet name="SSA5" sheetId="5" r:id="rId5"/>
    <sheet name="SSA6" sheetId="6" r:id="rId6"/>
    <sheet name="SSA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8" i="7" l="1"/>
  <c r="F72" i="6"/>
  <c r="F77" i="5"/>
  <c r="F69" i="4"/>
  <c r="F54" i="3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F71" i="2"/>
  <c r="E4" i="1"/>
  <c r="E5" i="1"/>
  <c r="E6" i="1"/>
  <c r="E7" i="1"/>
  <c r="E8" i="1"/>
  <c r="E9" i="1"/>
  <c r="E10" i="1"/>
  <c r="E11" i="1"/>
  <c r="E3" i="1"/>
  <c r="J4" i="1"/>
  <c r="J5" i="1"/>
  <c r="J6" i="1"/>
  <c r="J7" i="1"/>
  <c r="J8" i="1"/>
  <c r="J9" i="1"/>
  <c r="J10" i="1"/>
  <c r="J11" i="1"/>
  <c r="J3" i="1"/>
  <c r="I4" i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H3" i="1"/>
  <c r="G4" i="1"/>
  <c r="G5" i="1"/>
  <c r="G6" i="1"/>
  <c r="G7" i="1"/>
  <c r="G8" i="1"/>
  <c r="G9" i="1"/>
  <c r="G10" i="1"/>
  <c r="G11" i="1"/>
  <c r="G3" i="1"/>
  <c r="F4" i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<sst xmlns="http://schemas.openxmlformats.org/spreadsheetml/2006/main" count="1979" uniqueCount="597">
  <si>
    <t>No</t>
  </si>
  <si>
    <t>SKU</t>
  </si>
  <si>
    <t>Name</t>
  </si>
  <si>
    <t>Unit</t>
  </si>
  <si>
    <t>ກັບ</t>
  </si>
  <si>
    <t>ຊອງ</t>
  </si>
  <si>
    <t>SSA1</t>
  </si>
  <si>
    <t>SSA2</t>
  </si>
  <si>
    <t>SSA3</t>
  </si>
  <si>
    <t>SSA5</t>
  </si>
  <si>
    <t>SSA6</t>
  </si>
  <si>
    <t>SSA7</t>
  </si>
  <si>
    <t>Price</t>
  </si>
  <si>
    <t>Qty</t>
  </si>
  <si>
    <t>TOTAL</t>
  </si>
  <si>
    <t>ພະແນກDATA</t>
  </si>
  <si>
    <t>ນ. ພິຂຸນທອງ</t>
  </si>
  <si>
    <t>00368</t>
  </si>
  <si>
    <t xml:space="preserve"> ອານເລີແລ໋ກ-ເອັຟຊີ 10mg 50ແຜງ/ກັບ BDC</t>
  </si>
  <si>
    <t>ແຜງ</t>
  </si>
  <si>
    <t>00369</t>
  </si>
  <si>
    <t xml:space="preserve"> ອານເລີແລ໋ກ-ເອັຟຊີ 10mg 1000ເມັດ/ປ໋ອງ BDC</t>
  </si>
  <si>
    <t>ປ໋ອງ</t>
  </si>
  <si>
    <t>00581</t>
  </si>
  <si>
    <t xml:space="preserve"> ແຄບຊີກ້າ 0,0125% ເຈວ 35g BDC</t>
  </si>
  <si>
    <t>ຫຼອດTub</t>
  </si>
  <si>
    <t>00644</t>
  </si>
  <si>
    <t xml:space="preserve"> ຊີໂປຼຊິນ (ຊີໂປຼໂຟຼຊາຊິນ) 500mg 10ແຜງ/ກັບ FML</t>
  </si>
  <si>
    <t>00658</t>
  </si>
  <si>
    <t xml:space="preserve"> ຄີນີເຈວ (ວັດເຊີລິນ) 50g BDC</t>
  </si>
  <si>
    <t>00660</t>
  </si>
  <si>
    <t xml:space="preserve"> ຄີນີວັດ ຄຼີມ 5g BDC</t>
  </si>
  <si>
    <t>00661</t>
  </si>
  <si>
    <t xml:space="preserve"> ຄີນີວັດ-ເອັນ ຄຼີມ 5g BDC</t>
  </si>
  <si>
    <t>00662</t>
  </si>
  <si>
    <t xml:space="preserve"> ຄຼີໂນເດີມ (ຄໍເບຕາໂຊນ) ຄຼີມ 5g BDC</t>
  </si>
  <si>
    <t>00663</t>
  </si>
  <si>
    <t xml:space="preserve"> ຄີໂນເວຍ (ອາຊິດຄໍເວຍ) ຄຼີມ 5g BDC</t>
  </si>
  <si>
    <t>00664</t>
  </si>
  <si>
    <t xml:space="preserve"> ຄີໂນເວຍ (ອາຊິດຄໍເວຍ) 200mg BDC</t>
  </si>
  <si>
    <t>00863</t>
  </si>
  <si>
    <t xml:space="preserve"> ດອມເພີ-ເອັມ (ດອມເພີຣີໂດນ) 10mg BDC</t>
  </si>
  <si>
    <t>00996</t>
  </si>
  <si>
    <t xml:space="preserve"> ແຟງໂກ (ໂຄຕິມາໂຊນ) ຄຼີມ 5g BDC</t>
  </si>
  <si>
    <t>01012</t>
  </si>
  <si>
    <t xml:space="preserve"> ເຟກໂຊຕິນ (ເຟກໂຊເຟນາດິນ) 60mg 10ກັບ/ແພັກ FML</t>
  </si>
  <si>
    <t>01091</t>
  </si>
  <si>
    <t xml:space="preserve"> ກູລໂກຊາ 1500mg ແດງ 30ຊອງ/ກັບ BDC</t>
  </si>
  <si>
    <t>01094</t>
  </si>
  <si>
    <t xml:space="preserve"> ກູລໂກຊາ 500mg 10ແຜງ/ກັບ BDC</t>
  </si>
  <si>
    <t>01103</t>
  </si>
  <si>
    <t xml:space="preserve"> ກາຍໂນເຈຊິກ (ເມເຟນາມິກ ອາຊິດ) 500mg 10ແຜງ/ກັບ BDC</t>
  </si>
  <si>
    <t>01244</t>
  </si>
  <si>
    <t xml:space="preserve"> ໂລລີຕ້າ (ໂລລາຕາດິນ) 10mg 10ແຜງ/ກັບ FML</t>
  </si>
  <si>
    <t>01475</t>
  </si>
  <si>
    <t xml:space="preserve"> ໂນລາເຟັ້ນ 500mg 50ແຜງ/ກັບ BDC</t>
  </si>
  <si>
    <t>01500</t>
  </si>
  <si>
    <t xml:space="preserve"> ໂອໂຟຼຊີ (ໂອໂຟຼຊາຊິນ) 200mg 10ແຜງ/ກັບ</t>
  </si>
  <si>
    <t>01735</t>
  </si>
  <si>
    <t xml:space="preserve"> ສະກິນເຟັກ (ຊັງຕ້າໄມຊິນ) ຄຼີມ 5g BDC</t>
  </si>
  <si>
    <t>01758</t>
  </si>
  <si>
    <t xml:space="preserve"> ສະໂປໂລຊີວ (ເກໂຕໂກນາໂຊນ) 200mg 10ແຜງ/ກັບ BDC</t>
  </si>
  <si>
    <t>01759</t>
  </si>
  <si>
    <t xml:space="preserve"> ສະໂປລາຊີວ (ເກໂຕໂກນາໂຊນ) ຄຼີມ 5g BDC</t>
  </si>
  <si>
    <t>01944</t>
  </si>
  <si>
    <t xml:space="preserve"> ເຊັນເຊີລ່າ (ອັນເບນດາໂຊນ) 200mg 2ເມັດ/ແຜງ BDC</t>
  </si>
  <si>
    <t>ກັບນ້ອຍ</t>
  </si>
  <si>
    <t>01947</t>
  </si>
  <si>
    <t xml:space="preserve"> ເຊີຕິນ (ເຊຕີຣີຊິນ) 10mg 10ແຜງ/ກັບ FML</t>
  </si>
  <si>
    <t>01957</t>
  </si>
  <si>
    <t xml:space="preserve"> ຊີໂນ ຄຼີມ 0,02% 5g 12ຫຼອດ/ແພັກ BDC</t>
  </si>
  <si>
    <t>01958</t>
  </si>
  <si>
    <t xml:space="preserve"> ຊີໂນ ຄຼີມ 0,02% 15g BDC</t>
  </si>
  <si>
    <t>02072</t>
  </si>
  <si>
    <t xml:space="preserve"> ສະຕູຈິ້ນ (ຊິນນາລີຊິນ) 25mg 50ແຜງ/ກັບ BDC</t>
  </si>
  <si>
    <t>03358</t>
  </si>
  <si>
    <t xml:space="preserve"> Gastrosec (ໂອເມປຼາໂຊນ) 20mg BDC</t>
  </si>
  <si>
    <t>03519</t>
  </si>
  <si>
    <t xml:space="preserve"> ຊີໂນ ຄຼີມ 0,1% 5g BDC</t>
  </si>
  <si>
    <t>03654</t>
  </si>
  <si>
    <t xml:space="preserve"> ກູລໂກຊາ 1500mg ໝາກນາວ 30ຊອງ/ກັບ BDC</t>
  </si>
  <si>
    <t>04220</t>
  </si>
  <si>
    <t xml:space="preserve"> ຊີໂນ ຄຼີມ 0,1% 15g BDC</t>
  </si>
  <si>
    <t>04353</t>
  </si>
  <si>
    <t xml:space="preserve"> ແຄບຊີກ້າ-25 (0,025%) ເຈວ 35g</t>
  </si>
  <si>
    <t>04553</t>
  </si>
  <si>
    <t xml:space="preserve"> ແຄບຊີກ້າ-25 (0,025%) ເຈວ 15g BDC</t>
  </si>
  <si>
    <t>05020</t>
  </si>
  <si>
    <t xml:space="preserve"> ສະໂປລາຊີວ (ເກໂຕໂກນາໂຊນ) ຄຼີມ 15g BDC</t>
  </si>
  <si>
    <t>05108</t>
  </si>
  <si>
    <t xml:space="preserve"> Clinovir (Acyclovir) 400mg 5Bl/Box BDC</t>
  </si>
  <si>
    <t>05252</t>
  </si>
  <si>
    <t xml:space="preserve"> ແຟງໂກ (ໂຄຕິມາໂຊນ) ຄຼີມ 15g BDC</t>
  </si>
  <si>
    <t>05941</t>
  </si>
  <si>
    <t xml:space="preserve"> ຄີນີວັດ ຄຼີມ 15g BDC</t>
  </si>
  <si>
    <t>05942</t>
  </si>
  <si>
    <t xml:space="preserve"> ຄີນີວັດ-ເອັນ ຄຼີມ 15g BDC</t>
  </si>
  <si>
    <t>05943</t>
  </si>
  <si>
    <t xml:space="preserve"> ຄີໂນເດີມ ຄຼີມ 15g BDC</t>
  </si>
  <si>
    <t>05946</t>
  </si>
  <si>
    <t xml:space="preserve"> ໄດອາບີເດີມ ຄຼີມ 10% 35g (ສີຂຽວ) BDC</t>
  </si>
  <si>
    <t>06243</t>
  </si>
  <si>
    <t xml:space="preserve"> ໄດອາບີເດີມ ຄຼີມ 20% 35g (ສີຟ້າ) BDC</t>
  </si>
  <si>
    <t>06538</t>
  </si>
  <si>
    <t xml:space="preserve"> ສະປາດໂກປັງ (ບຸດສໂກປັງ) 10mg 50ແຜງ/ກັບ BDC</t>
  </si>
  <si>
    <t>07427</t>
  </si>
  <si>
    <t xml:space="preserve"> ຄຼີນີເມດ (ຊີເມຕີດິນ) 400mg 50ແຜງ/ກັບ BDC</t>
  </si>
  <si>
    <t>07545</t>
  </si>
  <si>
    <t xml:space="preserve"> ໄພວານາ ຄຼີມ 14% 35g BDC</t>
  </si>
  <si>
    <t>07777</t>
  </si>
  <si>
    <t xml:space="preserve"> ຈີ-ບີຊາໂມນ ນໍ້າ 240ml (ສີບົວ) BDC</t>
  </si>
  <si>
    <t>ກ້ອງFl</t>
  </si>
  <si>
    <t>08449</t>
  </si>
  <si>
    <t xml:space="preserve"> Arotika rub 15g BDC</t>
  </si>
  <si>
    <t>08450</t>
  </si>
  <si>
    <t xml:space="preserve"> Arotika rub 35g BDC</t>
  </si>
  <si>
    <t>08451</t>
  </si>
  <si>
    <t xml:space="preserve"> Arotika rub lotion 60ml BDC</t>
  </si>
  <si>
    <t>08452</t>
  </si>
  <si>
    <t xml:space="preserve"> Arotika cool gel 35g BDC</t>
  </si>
  <si>
    <t>08921</t>
  </si>
  <si>
    <t xml:space="preserve"> ເຊຟາເລັກຊິລ (ເຊຟາເລັກຊິນ) 500mg 10ແຜງ/ກັບ SAP</t>
  </si>
  <si>
    <t>10191</t>
  </si>
  <si>
    <t xml:space="preserve"> ສປາດໂກປັງ (ບຸດສໂກປັງ) 10mg 500ເມັດ/ປ໋ອງ BDC</t>
  </si>
  <si>
    <t>10399</t>
  </si>
  <si>
    <t xml:space="preserve"> Feenoze nasal spray 20ml BDC</t>
  </si>
  <si>
    <t>14106</t>
  </si>
  <si>
    <t xml:space="preserve"> ແອນແຊັກ ຟູໂລຊີຕິນ HCI 20mg 10ແຜງ/ກັບ</t>
  </si>
  <si>
    <t>14275</t>
  </si>
  <si>
    <t xml:space="preserve"> Nacoxib (Etoricoxib) 90mg</t>
  </si>
  <si>
    <t>15617</t>
  </si>
  <si>
    <t xml:space="preserve"> ເຊັນເຊີລ່າ ​200mg ຂ້າ​ແມ່​ທ້ອງ​ແບບ​ຊອງ 10ml/ຊອງ</t>
  </si>
  <si>
    <t>17100</t>
  </si>
  <si>
    <t xml:space="preserve"> ໂພຊີອຸດ15 10ຊອງ/ກັບ TH</t>
  </si>
  <si>
    <t>17101</t>
  </si>
  <si>
    <t xml:space="preserve"> ໂພຊີອຸດ15 30ຊອງ/ກັບ TH</t>
  </si>
  <si>
    <t>17226</t>
  </si>
  <si>
    <t xml:space="preserve"> Tristan (Etoricoxib) 90mg</t>
  </si>
  <si>
    <t>17224</t>
  </si>
  <si>
    <t xml:space="preserve"> Gastro bismol 524</t>
  </si>
  <si>
    <t>17225</t>
  </si>
  <si>
    <t xml:space="preserve"> Arotika cool spray 60ml</t>
  </si>
  <si>
    <t>18422</t>
  </si>
  <si>
    <t xml:space="preserve"> Hepivir (ຢາປົວໄວຣັສຕັບອັກເສບ ບີ) 0.5mg 3ແຜງ/ກັບ TH</t>
  </si>
  <si>
    <t>18544</t>
  </si>
  <si>
    <t xml:space="preserve"> Clena TM EX (Anti melasma) 15g</t>
  </si>
  <si>
    <t>18610</t>
  </si>
  <si>
    <t xml:space="preserve"> Precius (Pregabalin) 75mg 6Bl/Box</t>
  </si>
  <si>
    <t>18682</t>
  </si>
  <si>
    <t xml:space="preserve"> ເຊັນໂຕຊາຍ (ປາຣາຊີກັງແຕນ) 600mg ແຜງ/ກັບ</t>
  </si>
  <si>
    <t>18911</t>
  </si>
  <si>
    <t xml:space="preserve"> Fango-BD (ໂຄຕິມາໂຊນ 1% / ເບຕາເມທາໂຊນ 0.1%) ຄຼີມ 5g</t>
  </si>
  <si>
    <t>19121</t>
  </si>
  <si>
    <t xml:space="preserve"> (Free) ແຄບຊີກ້າ-75 ໂລຊັນ ສປັນ ແພກ 80ml</t>
  </si>
  <si>
    <t>19122</t>
  </si>
  <si>
    <t xml:space="preserve"> (Free) ຄີນີວັດ-ເອັນ ຄຼີມ 5g BDC</t>
  </si>
  <si>
    <t>19685</t>
  </si>
  <si>
    <t xml:space="preserve"> ອາຊາມິນ (ຕັງຊາມິກ ອາຊິດ) 250mg 50ແຜງ/ກັບ</t>
  </si>
  <si>
    <t>(Free) Arotika calza ຖົງຫິ້ວ (ສີຟ້າ) BDC</t>
  </si>
  <si>
    <t>(Free) Arotika cool spray 60ml Fl</t>
  </si>
  <si>
    <t>(Free) Arotika pen</t>
  </si>
  <si>
    <t>(Free) Arotika rub 15g</t>
  </si>
  <si>
    <t>(Free) Arotika ເສື້ອຢືດ</t>
  </si>
  <si>
    <t>(Free) Bag Clenascar + Bag Plaivana</t>
  </si>
  <si>
    <t>(Free) Camping chair ຕັ່ງແຄມປິ້ງ</t>
  </si>
  <si>
    <t>(Free) Camping table ໂຕະແຄມປິ້ງ</t>
  </si>
  <si>
    <t>(Free) Capsika 0,0125% gel 35g BDC</t>
  </si>
  <si>
    <t>(Free) Capsika-25 lotion spong pak 80ml</t>
  </si>
  <si>
    <t>(Free) Cleanako ເຈວລ້າງມື ເຫຼົ້າ 75% 50ml</t>
  </si>
  <si>
    <t>(Free) Clenascar gel 7g BDC</t>
  </si>
  <si>
    <t>(Free) Diabederm cream 10% 15g BDC</t>
  </si>
  <si>
    <t>(Free) Finasteride 1mg 3Bl/Box</t>
  </si>
  <si>
    <t>(Free) Gastro bismol 524</t>
  </si>
  <si>
    <t>(Free) Gastrosec (ໂອເມປຼາໂຊນ) 20mg BDC</t>
  </si>
  <si>
    <t>(Free) Gastrosec ກະເປົ໋າ</t>
  </si>
  <si>
    <t>(Free) Glucosa 1500mg Red 30Sach/Box BDC</t>
  </si>
  <si>
    <t>(Free) Hepivir (Hepatitis B) entecavir 0.5mg 3Bl/Box TH</t>
  </si>
  <si>
    <t>(Free) Insulated cup ຈອກເກັບຄວາມເຢັນ</t>
  </si>
  <si>
    <t>(Free) Nacoxib (Etoricoxib) 90mg</t>
  </si>
  <si>
    <t>(Free) Otto ໝໍ້ຊີ້ນຈຸ່ມ+ດາດ GR-175A (1900W)</t>
  </si>
  <si>
    <t>(Free) Otto ໝໍ້ທອດໄຟຟ້າ DF-377 6L (2500W)</t>
  </si>
  <si>
    <t>(Free) Plaivana cream 14% 35g BDC</t>
  </si>
  <si>
    <t>(Free) Precius (Pregabalin) 75mg 6Bl/Box</t>
  </si>
  <si>
    <t>(Free) Safe &amp; Save ກາຕົ້ມນໍ້າໄຟຟ້າ 1.8L TH</t>
  </si>
  <si>
    <t>(Free) Spascopan (Buscopan) 10mg 500Tab/Bott BDC</t>
  </si>
  <si>
    <t>(Free) Sporaxyl (Ketoconasol) cream 15g BDC</t>
  </si>
  <si>
    <t>(Free) Suitcase ກະເປົ໋າເດີນທາງແບບມີລໍ້ ຂະໜາດ 20ນິ້ວ</t>
  </si>
  <si>
    <t>(Free) Sunny ກາຕົ້ມນໍ້າໄຟຟ້າ 2L (1500W)</t>
  </si>
  <si>
    <t>(Free) Tiger star ໝໍ້ແດງ SP-100</t>
  </si>
  <si>
    <t>(Free) ກາຍໂນເຈຊິກ (ເມເຟນາມິກ ອາຊິດ) 500mg 10ແຜງ/ກັບ BDC</t>
  </si>
  <si>
    <t>(Free) ກູລໂກຊາ ຄັນຮົ່ມ</t>
  </si>
  <si>
    <t>(Free) ຄີນີວັດ-ເອັນ ຄຼີມ 5g BDC</t>
  </si>
  <si>
    <t>(Free) ຄີໂນເດີມ ຄຼີມ 15g</t>
  </si>
  <si>
    <t>(Free) ຄີໂນເວຍ (ອາຊິດຄໍເວຍ) ຄຼີມ 5g BDC</t>
  </si>
  <si>
    <t>(Free) ຈີ-ບິສໂມນ 240ml BDC</t>
  </si>
  <si>
    <t>(Free) ສະຕູຈິ້ນ (ຊິນນາລີຊິນ) 25mg 50ແຜງ/ກັບ BDC</t>
  </si>
  <si>
    <t>(Free) ສະໂປລາຊີວ (ເກໂຕໂກນາໂຊນ) ຄຼີມ 15g BDC</t>
  </si>
  <si>
    <t>(Free) ສະໂປລາຊີວ (ເກໂຕໂກນາໂຊນ) ຄຼີມ 5g BDC</t>
  </si>
  <si>
    <t>(Free) ສະໂປໂລຊີວ 200mg</t>
  </si>
  <si>
    <t>(Free) ຊີໂປຼຊິນ (ຊີໂປຼໂຟຼຊາຊິນ) 500mg 10ແຜງ/ກັບ FML</t>
  </si>
  <si>
    <t>(Free) ພັດລົມ</t>
  </si>
  <si>
    <t>(Free) ຟາຕຸດຊິນ 10ແຜງ/ກັບ 15mg FML</t>
  </si>
  <si>
    <t>(Free) ເສື້ອກັນຝົນ BDC</t>
  </si>
  <si>
    <t>(Free) ເຊຟາເລັກຊິລ (ເຊຟາເລັກຊິນ) 500mg 10ແຜງ/ກັບ SAP</t>
  </si>
  <si>
    <t>(Free) ເຊີຕິນ (ເຊຕີຣີຊິນ) 10mg 10ແຜງ/ກັບ FML</t>
  </si>
  <si>
    <t>(Free) ເຊີຕິນ ນໍ້າ 5mg 60ml FML</t>
  </si>
  <si>
    <t>(Free) ເຊັນເຊີລ່າ ​200mg ຂ້າ​ແມ່​ທ້ອງ​ແບບ​ຊອງ 10ml/ຊອງ</t>
  </si>
  <si>
    <t>(Free) ເຊັນເຊີລ່າ (ອັນເບນດາໂຊນ) 200mg 2ເມັດ/ແຜງ BDC</t>
  </si>
  <si>
    <t>(Free) ແຄບຊີກ້າ ເສື້ອມີຄໍ (ໃສສະອາດ)</t>
  </si>
  <si>
    <t>(Free) ແຄບຊີກ້າ-25 (0,025%) ເຈວ 15g</t>
  </si>
  <si>
    <t>(Free) ແຄບຊີກ້າ-25 (0,025%) ເຈວ 35g</t>
  </si>
  <si>
    <t>(Free) ແຄບຊີກ້າ-25 ເຈວ 35g</t>
  </si>
  <si>
    <t>(Free) ແຄບຊີກ້າ-75 ໂລຊັນ ສປັນ ແພກ 80ml</t>
  </si>
  <si>
    <t>(Free) ໂພຊີອຸດ15</t>
  </si>
  <si>
    <t>(Free) ໂພຊີອຸດ15 10ຊອງ</t>
  </si>
  <si>
    <t>(Free) ໂພຊີອຸດ15 5ຊອງ</t>
  </si>
  <si>
    <t>(Free) ໂມງ Pharma Alliance</t>
  </si>
  <si>
    <t>(Free) ໄພວານາ ຄຼີມ 15g BDC</t>
  </si>
  <si>
    <t>(Free) ໄພວານາ ຄຼີມ 35g BDC</t>
  </si>
  <si>
    <t>Arotika cool gel 35g BDC</t>
  </si>
  <si>
    <t>Arotika cool spray 60ml</t>
  </si>
  <si>
    <t>Arotika rub 15g BDC</t>
  </si>
  <si>
    <t>Arotika rub 35g BDC</t>
  </si>
  <si>
    <t>Arotika rub lotion 60ml BDC</t>
  </si>
  <si>
    <t>Arotika sport cream 15g BDC</t>
  </si>
  <si>
    <t>Arotika sport cream 35g BDC</t>
  </si>
  <si>
    <t>Arotika sport milky lotion 80ml</t>
  </si>
  <si>
    <t>Cleanoze ເກືອລ້າງດັງ 20x2.265g</t>
  </si>
  <si>
    <t>Clena scar acne spot gel 7g</t>
  </si>
  <si>
    <t>Clena scar C gel 7g</t>
  </si>
  <si>
    <t>Clena TM EX (Anti melasma) 15g</t>
  </si>
  <si>
    <t>Clenascar acne spot gel 7g</t>
  </si>
  <si>
    <t>Clenascar gel 15g BDC</t>
  </si>
  <si>
    <t>Clenascar gel 35g BDC</t>
  </si>
  <si>
    <t>Clenascar gel 7g BDC</t>
  </si>
  <si>
    <t>Clenascar gental face wash 50ml BDC</t>
  </si>
  <si>
    <t>Clenascar post acne gel 7g BDC</t>
  </si>
  <si>
    <t>Clindamycin 300mg 10Bl/Box PH</t>
  </si>
  <si>
    <t>Clinicold 10Tab/Box BDC</t>
  </si>
  <si>
    <t>Clinovir (Acyclovir) 400mg 5Bl/Box BDC</t>
  </si>
  <si>
    <t>Diabe derm cream (10%) 100g BDC</t>
  </si>
  <si>
    <t>Fango-BD (ໂຄຕິມາໂຊນ 1% / ເບຕາເມທາໂຊນ 0.1%) ຄຼີມ 5g</t>
  </si>
  <si>
    <t>Feenoze nasal spray 20ml BDC</t>
  </si>
  <si>
    <t>Finasteride 1mg 3Bl/Box</t>
  </si>
  <si>
    <t>Gastro bismol 524</t>
  </si>
  <si>
    <t>Gastrosec (ໂອເມປຼາໂຊນ) 20mg BDC</t>
  </si>
  <si>
    <t>Hepivir (ຢາປົວໄວຣັສຕັບອັກເສບ ບີ) 0.5mg 3ແຜງ/ກັບ TH</t>
  </si>
  <si>
    <t>Kachana (Black) 3Bl/Box BDC</t>
  </si>
  <si>
    <t>Kachana-90 3Bl/Box BDC</t>
  </si>
  <si>
    <t>Nacoxib (Etoricoxib) 90mg</t>
  </si>
  <si>
    <t>Precius (Pregabalin) 75mg 6Bl/Box</t>
  </si>
  <si>
    <t>Raqua cleansing gel 80ml</t>
  </si>
  <si>
    <t>Raqua glow facce wash 50ml</t>
  </si>
  <si>
    <t>Spasium 20mg 10Bl/Box BDC</t>
  </si>
  <si>
    <t>Tristan (Etoricoxib) 90mg</t>
  </si>
  <si>
    <t>ກາສໂຕ ບິສໂມນ ບົວ 240ml BDC</t>
  </si>
  <si>
    <t>ກາຍໂນເຈຊິກ (ເມເຟນາມິກ ອາຊິດ) 500mg 10ແຜງ/ກັບ BDC</t>
  </si>
  <si>
    <t>ກາຍໂນເຈຊິກ (ເມເຟນາມິກ ອາຊິດ) 500mg 500ເມັດ/ປ໋ອງ BDC</t>
  </si>
  <si>
    <t>ກາຍໂນເວຍ (ອາຊີໂຄເວຍ) ຄຼີມ 5g BDC</t>
  </si>
  <si>
    <t>ກາດສໂຕບີຊາມອນ 10ແຜງ/ກັບ BDC</t>
  </si>
  <si>
    <t>ກູຕີຊິນ (ໂຄຊີຊິນ) 0,6mg 10ແຜງ/ກັບ FML</t>
  </si>
  <si>
    <t>ກູລໂກຄຼອນ (ກຼີກຼາຊາຍ) 80mg BDC</t>
  </si>
  <si>
    <t>ກູລໂກຊາ 1500mg ຄລາຊິກ 30ຊອງ/ກັບ BDC</t>
  </si>
  <si>
    <t>ກູລໂກຊາ 1500mg ໝາກນາວ 30ຊອງ/ກັບ BDC</t>
  </si>
  <si>
    <t>ກູລໂກຊາ 1500mg ແດງ 30ຊອງ/ກັບ BDC</t>
  </si>
  <si>
    <t>ກູລໂກຊາ 250mg 10ແຜງ/ກັບ BDC</t>
  </si>
  <si>
    <t>ກູລໂກຊາ 500mg 100ເເຄັບຊູນ/ປ໋ອງ BDC</t>
  </si>
  <si>
    <t>ກູລໂກຊາ 500mg 10ແຜງ/ກັບ BDC</t>
  </si>
  <si>
    <t>ກູລໂກແດບ (ກີລປີຊາຍ) 5mg 50ແຜງ/ກັບ BDC</t>
  </si>
  <si>
    <t>ຄາຊ່າ ພລັສ 30ເມັດ/ປ໋ອງ</t>
  </si>
  <si>
    <t>ຄາຊ່າ ໄນໂຕະ 30ເມັດ/ປ໋ອງ</t>
  </si>
  <si>
    <t>ຄີນີວັດ ຄຼີມ 15g BDC</t>
  </si>
  <si>
    <t>ຄີນີວັດ ຄຼີມ 450g BDC</t>
  </si>
  <si>
    <t>ຄີນີວັດ ຄຼີມ 5g BDC</t>
  </si>
  <si>
    <t>ຄີນີວັດ-ເອັນ ຄຼີມ 15g BDC</t>
  </si>
  <si>
    <t>ຄີນີວັດ-ເອັນ ຄຼີມ 450g BDC</t>
  </si>
  <si>
    <t>ຄີນີວັດ-ເອັນ ຄຼີມ 5g BDC</t>
  </si>
  <si>
    <t>ຄີນີເຈວ (ວັດເຊີລິນ) 50g BDC</t>
  </si>
  <si>
    <t>ຄີນີເປດ (ເປດນີໂຊໂລນ) ຄຼີມ 5g BDC</t>
  </si>
  <si>
    <t>ຄີໂນເດີມ ຄຼີມ 15g BDC</t>
  </si>
  <si>
    <t>ຄີໂນເວຍ (ອາຊິດຄໍເວຍ) 200mg BDC</t>
  </si>
  <si>
    <t>ຄີໂນເວຍ (ອາຊິດຄໍເວຍ) ຄຼີມ 5g BDC</t>
  </si>
  <si>
    <t>ຄຼີນນາສກາ ເຈວ 15g BDC</t>
  </si>
  <si>
    <t>ຄຼີນນາສກາ ເຈວ 7g BDC</t>
  </si>
  <si>
    <t>ຄຼີນີເມດ (ຊີເມຕີດິນ) 400mg 500ແຄັບຊູນ/ປ໋ອງ BDC</t>
  </si>
  <si>
    <t>ຄຼີນີເມດ (ຊີເມຕີດິນ) 400mg 50ແຜງ/ກັບ BDC</t>
  </si>
  <si>
    <t>ຄຼີໂນເດີມ (ຄໍເບຕາໂຊນ) ຄຼີມ 5g BDC</t>
  </si>
  <si>
    <t>ຄຼີໂນເດີມ (ໂຄເບຕາໂຊນ) ຄຼີມ 450g BDC</t>
  </si>
  <si>
    <t>ຈີ-ບີຊາໂມນ ນໍ້າ (ໝາກກ້ຽງ) 240ml BDC</t>
  </si>
  <si>
    <t>ຈີ-ບີຊາໂມນ ນໍ້າ 240ml (ສີບົວ) BDC</t>
  </si>
  <si>
    <t>ສປາດໂກປັງ (ບຸດສໂກປັງ) 10mg 500ເມັດ/ປ໋ອງ BDC</t>
  </si>
  <si>
    <t>ສະກິນເຟກ-ບີ ຄຼີມ 5g BDC</t>
  </si>
  <si>
    <t>ສະກິນເຟັກ (ຊັງຕ້າໄມຊິນ) ຄຼີມ 15g BDC</t>
  </si>
  <si>
    <t>ສະກິນເຟັກ (ຊັງຕ້າໄມຊິນ) ຄຼີມ 5g BDC</t>
  </si>
  <si>
    <t>ສະກິນເຟັກ-ບີ ຄຼີມ 15g BDC</t>
  </si>
  <si>
    <t>ສະຕູຈິ້ນ (ຊິນນາລີຊິນ) 25mg 1000ເມັດ/ປ໋ອງ BDC</t>
  </si>
  <si>
    <t>ສະຕູຈິ້ນ (ຊິນນາລີຊິນ) 25mg 50ແຜງ/ກັບ BDC</t>
  </si>
  <si>
    <t>ສະປາດໂກປັງ (ບຸດສໂກປັງ) 10mg 50ແຜງ/ກັບ BDC</t>
  </si>
  <si>
    <t>ສະໂປລາຊີວ (ເກໂຕໂກນາໂຊນ) ຄຼີມ 15g BDC</t>
  </si>
  <si>
    <t>ສະໂປລາຊີວ (ເກໂຕໂກນາໂຊນ) ຄຼີມ 5g BDC</t>
  </si>
  <si>
    <t>ສະໂປໂລຊີວ (ເກໂຕໂກນາໂຊນ) 200mg 10ເມັດ/ກັບ BDC</t>
  </si>
  <si>
    <t>ສະໂປໂລຊີວ (ເກໂຕໂກນາໂຊນ) 200mg 10ແຜງ/ກັບ BDC</t>
  </si>
  <si>
    <t>ຊີໂນ ຄຼີມ 0,02% 15g BDC</t>
  </si>
  <si>
    <t>ຊີໂນ ຄຼີມ 0,02% 5g 12ຫຼອດ/ແພັກ BDC</t>
  </si>
  <si>
    <t>ຊີໂນ ຄຼີມ 0,1% 15g BDC</t>
  </si>
  <si>
    <t>ຊີໂນ ຄຼີມ 0,1% 5g BDC</t>
  </si>
  <si>
    <t>ຊີໂປຼຊິນ (ຊີໂປຼໂຟຼຊາຊິນ) 500mg 10ແຜງ/ກັບ FML</t>
  </si>
  <si>
    <t>ຊຸດລ້າງດັງ Cleanoze 250ml</t>
  </si>
  <si>
    <t>ດອມເພີ-ເອັມ (ດອມເພີຣີໂດນ) 10mg BDC</t>
  </si>
  <si>
    <t>ດອມເພີ-ເອັມ (ດອມເພີຣີໂດນ) 10mg ເມັດ BDC</t>
  </si>
  <si>
    <t>ດົກຊີ ແຄັບ (ດົກຊີຊິນລິນ) 100mg 50ແຜງ/ກັບ BDC</t>
  </si>
  <si>
    <t>ດົກຊີຊິນລິນ 100mg 500ແຄັບຊູນ/ປ໋ອງ BDC</t>
  </si>
  <si>
    <t>ທາໂດນເຈສິກ 50mg 10ແຜງ/ກັບ BDC</t>
  </si>
  <si>
    <t>ທາໂດນເຈສິກ 50mg 500ແຄັບຊູນ/ປ໋ອງ BDC</t>
  </si>
  <si>
    <t>ນໍຟຼອກຊິນ (ນໍຟຼອກຊາຊິນ) 400mg 10ແຜງ/ກັບ BDC</t>
  </si>
  <si>
    <t>ນໍຟຼອກຊິນ (ນໍຟຼອກຊາຊິນ) 400mg 500ເມັດ/ປ໋ອງ BDC</t>
  </si>
  <si>
    <t>ບິນດູເລຕິກ 50mg 50ແຜງ/ກັບ BDC</t>
  </si>
  <si>
    <t>ບີ-ທີມິນ 50ແຜງ/ກັບ BDC</t>
  </si>
  <si>
    <t>ຟາຕຸດຊິນ 10ແຜງ/ກັບ 15mg FML</t>
  </si>
  <si>
    <t>ຟາມາກ໋ອນ 2,5mg 50ແຜງ/ກັບ BDC</t>
  </si>
  <si>
    <t>ຟາມາເຊັບ (ເຊຟູໂຣຊິມ) 250mg 10ເມັດ/ແຜງ FML</t>
  </si>
  <si>
    <t>ຟາມາເຊັບ (ເຊຟູໂຣຊິມ) 500mg 1ແຜງ/ກັບ FML</t>
  </si>
  <si>
    <t>ຟາໂມແທບ (ຟາໂມຕີດິນ) 40mg 500ເມັດ/ປ໋ອງ BDC</t>
  </si>
  <si>
    <t>ຟາໂມແທບ (ຟາໂມຕີດິນ) 40mg 50ແຜງ/ກັບ BDC</t>
  </si>
  <si>
    <t>ຟູນາລີຊິນ 50ແຜງ/ກັບ 5mg BDC</t>
  </si>
  <si>
    <t>ຟູນາລີຊິນ 5mg 1000ແຄັບຊູນ/ປ໋ອງ BDC</t>
  </si>
  <si>
    <t>ມາຍໂກຊິນ 125mg 1000ເມັດ/ປ໋ອງ BDC</t>
  </si>
  <si>
    <t>ມາຍໂອລາ (ອາເຊຕາມີໂນ+ຊໍໂຊ) 550mg BDC</t>
  </si>
  <si>
    <t>ມູໂຄບ໋ອກ 30mg 50ແຜງ/ກັບ BDC</t>
  </si>
  <si>
    <t>ມູໂຄບ໋ອກ 500ເມັດ/ປ໋ອງ BDC</t>
  </si>
  <si>
    <t>ມູໂຄບ໋ອກ ນໍ້າ 60ml BDC</t>
  </si>
  <si>
    <t>ລ໋ອກຊີໂຕຼຊິນ (ລ໋ອກຊີໂຕຼມາຍຊິນ) 150mg 10ແຜງ/ກັບ BDC</t>
  </si>
  <si>
    <t>ອາຊາມິນ (ຕັງຊາມິກ ອາຊິດ) 250mg 50ແຜງ/ກັບ</t>
  </si>
  <si>
    <t>ອາຊາມິນ 500mg (ຕັງຊາມິກ ອາຊິດ) 500ແຄັບຊູນ/ປ໋ອງ BDC</t>
  </si>
  <si>
    <t>ອານເລີແລ໋ກ-ເອັຟຊີ 10mg 1000ເມັດ/ປ໋ອງ BDC</t>
  </si>
  <si>
    <t>ອານເລີແລ໋ກ-ເອັຟຊີ 10mg 50ແຜງ/ກັບ BDC</t>
  </si>
  <si>
    <t>ເຊພາເລັກຊິນ 500mg 100ແຄັບຊູນ/ປ໋ອງ BCD</t>
  </si>
  <si>
    <t>ເຊຟ້າເລັກຊິນ 500mg 10ແຜງ/ກັບ BDC</t>
  </si>
  <si>
    <t>ເຊຟາເລັກຊິນ 500mg 10ແຜງ/ກັບ BDC</t>
  </si>
  <si>
    <t>ເຊຟາເລັກຊິນ 500mg 500ແຄັບຊູນ/ປ໋ອງ BDC</t>
  </si>
  <si>
    <t>ເຊຟາເລັກຊິລ (ເຊຟາເລັກຊິນ) 500mg 10ແຜງ/ກັບ SAP</t>
  </si>
  <si>
    <t>ເຊຟູໂຣຊິມ NIKP 500mg 10ແຜງ/ກັບ FML</t>
  </si>
  <si>
    <t>ເຊີຕິນ (ເຊຕີຣີຊິນ) 10mg 10ແຜງ/ກັບ FML</t>
  </si>
  <si>
    <t>ເຊີຕິນ ນໍ້າ 5mg 60ml FML</t>
  </si>
  <si>
    <t>ເຊັນເຊີລ່າ ​200mg ຂ້າ​ແມ່​ທ້ອງ​ແບບ​ຊອງ 10ml/ຊອງ</t>
  </si>
  <si>
    <t>ເຊັນເຊີລ່າ (ອັນເບນດາໂຊນ) 200mg 100ເມັດ/ປ໋ອງ BDC</t>
  </si>
  <si>
    <t>ເຊັນເຊີລ່າ (ອັນເບນດາໂຊນ) 200mg 2ເມັດ/ແຜງ BDC</t>
  </si>
  <si>
    <t>ເຊັນໂຕຊາຍ (ປາຣາຊີກັງແຕນ) 600mg ແຜງ/ກັບ</t>
  </si>
  <si>
    <t>ເດັກໂຕເມໂຕຟາມ 15mg 50ແຜງ/ກັບ BDC</t>
  </si>
  <si>
    <t>ເນັບໄທ ນີເມຊູໄລ 100mg 50ແຜງ/ກັບ BDC</t>
  </si>
  <si>
    <t>ເບສຕາຕິນ 20mg 10ແຜງ/ກັບ FML</t>
  </si>
  <si>
    <t>ເບຕາຮີດ 6mg 10ແຜງ/ກັບ FML</t>
  </si>
  <si>
    <t>ເປດແຄັບ (ເປດນີໂຊໂລນ) 5mg 1000ເມັດ/ປ໋ອງ BDC</t>
  </si>
  <si>
    <t>ເຟກໂຊຕິນ (ເຟກໂຊເຟນາດິນ) 60mg 10ກັບ/ແພັກ FML</t>
  </si>
  <si>
    <t>ເມັດຟໍມິນ 500mg 500ເມັດ/ປ໋ອງ BDC</t>
  </si>
  <si>
    <t>ເມັດຟໍມິນ 500mg 50ແຜງ/ກັບ BDC</t>
  </si>
  <si>
    <t>ແຄບຊີກ້າ 0,0125% ສເປຼ ແພກ 100ml</t>
  </si>
  <si>
    <t>ແຄບຊີກ້າ 0,0125% ເຈວ 15g BDC</t>
  </si>
  <si>
    <t>ແຄບຊີກ້າ 0,0125% ເຈວ 35g BDC</t>
  </si>
  <si>
    <t>ແຄບຊີກ້າ ເຈວ 60g</t>
  </si>
  <si>
    <t>ແຄບຊີກ້າ ໂລຊັນ ສປັນ ແພກ 80ml</t>
  </si>
  <si>
    <t>ແຄບຊີກ້າ-25 (0,025%) ເຈວ 15g BDC</t>
  </si>
  <si>
    <t>ແຄບຊີກ້າ-25 (0,025%) ເຈວ 35g</t>
  </si>
  <si>
    <t>ແຄບຊີກ້າ-25 (0,025%) ເຈວ 60g</t>
  </si>
  <si>
    <t>ແຄບຊີກ້າ-25 ໂລຊັນ ສປັນ ແພກ 80ml</t>
  </si>
  <si>
    <t>ແຄບຊີກ້າ-25 ໂລຊັນ ສເປຼ 100ml BDC</t>
  </si>
  <si>
    <t>ແຄບຊີກ້າ-75 ໂລຊັນ ສປັນ ແພກ 80ml</t>
  </si>
  <si>
    <t>ແຄວຊາ ແຄວຊຽມ 1500mg 10ຊອງ/ກັບ BDC</t>
  </si>
  <si>
    <t>ແຟງໂກ (ໂຄຕິມາໂຊນ) ຄຼີມ 15g BDC</t>
  </si>
  <si>
    <t>ແຟງໂກ (ໂຄຕິມາໂຊນ) ຄຼີມ 5g BDC</t>
  </si>
  <si>
    <t>ແຟງໂກ-ບີ ຄຼີມ 15g BDC</t>
  </si>
  <si>
    <t>ແຟງໂກ-ບີ ຄຼີມ 5g BDC</t>
  </si>
  <si>
    <t>ແອນແຊັກ ຟູໂລຊິຕິນ 20mg 500ເມັດ/ປ໋ອງ BDC</t>
  </si>
  <si>
    <t>ແອນແຊັກ ຟູໂລຊິຕິນ ບົວ 20mg 1000Tab/Bott BDC</t>
  </si>
  <si>
    <t>ແອນແຊັກ ຟູໂລຊີຕິນ HCI 20mg 10ແຜງ/ກັບ</t>
  </si>
  <si>
    <t>ໂຄຕຼີຊິນ (ບັກຕຼິມ) 480mg 50ແຜງ/ກັບ BDC</t>
  </si>
  <si>
    <t>ໂນລາເຟັ້ນ 500mg 500ເມັດ/ປ໋ອງ BDC</t>
  </si>
  <si>
    <t>ໂນລາເຟັ້ນ 500mg 50ແຜງ/ກັບ BDC</t>
  </si>
  <si>
    <t>ໂພຊີອຸດ15 10ຊອງ/ກັບ TH</t>
  </si>
  <si>
    <t>ໂພຊີອຸດ15 30ຊອງ/ກັບ TH</t>
  </si>
  <si>
    <t>ໂລປິວ 2mg 1000ເມັດ/ປ໋ອງ BDC</t>
  </si>
  <si>
    <t>ໂລປິວ 2mg 50ແຜງ/ກັບ BDC</t>
  </si>
  <si>
    <t>ໂລລີຕ້າ (ໂລລາຕາດິນ) 10mg 10ແຜງ/ກັບ FML</t>
  </si>
  <si>
    <t>ໂອໂຟຼຊີ (ໂອໂຟຼຊາຊິນ) 200mg 10ແຜງ/ກັບ</t>
  </si>
  <si>
    <t>ໂອໂຟຼຊີ (ໂອໂຟຼຊາຊິນ) 200mg 10ແຜງ/ກັບ BDC</t>
  </si>
  <si>
    <t>ໄກບີນິນ 50ແຜງ/ກັບ BDC</t>
  </si>
  <si>
    <t>ໄດອາບີເດີມ ຄຼີມ 10% 15g (ສີຂຽວ) BDC</t>
  </si>
  <si>
    <t>ໄດອາບີເດີມ ຄຼີມ 10% 35g (ສີຂຽວ) BDC</t>
  </si>
  <si>
    <t>ໄດອາບີເດີມ ຄຼີມ 10% 450g BCD</t>
  </si>
  <si>
    <t>ໄດອາບີເດີມ ຄຼີມ 20% 15g (ສີຟ້າ) BDC</t>
  </si>
  <si>
    <t>ໄດອາບີເດີມ ຄຼີມ 20% 35g (ສີຟ້າ) BDC</t>
  </si>
  <si>
    <t>ໄດອາບີເດີມ ຄຼີມ 20% 450g BCD</t>
  </si>
  <si>
    <t>ໄດອາບີເດີມ ໂລຊັ່ນ 10% (ສີຂຽວ) 200ml BDC</t>
  </si>
  <si>
    <t>ໄພວານາ ຄຼີມ 100g BDC</t>
  </si>
  <si>
    <t>ໄພວານາ ຄຼີມ 14% 15g BDC</t>
  </si>
  <si>
    <t>ໄພວານາ ຄຼີມ 14% 35g BDC</t>
  </si>
  <si>
    <t>ໄອຄ໋ອບ-ຈີ 15mg 1000ເມັດ/ປ໋ອງ BDC</t>
  </si>
  <si>
    <t>ໄອຄ໋ອບ-ຈີ 15mg 50ແຜງ/ກັບ BDC</t>
  </si>
  <si>
    <t>ໄອຄ໋ອບ-ບີ 15mg 1000ເມັດ/ປ໋ອງ BDC</t>
  </si>
  <si>
    <t>15722</t>
  </si>
  <si>
    <t>18797</t>
  </si>
  <si>
    <t>935</t>
  </si>
  <si>
    <t>934</t>
  </si>
  <si>
    <t>14105</t>
  </si>
  <si>
    <t>12853</t>
  </si>
  <si>
    <t>19342</t>
  </si>
  <si>
    <t>19404</t>
  </si>
  <si>
    <t>18639</t>
  </si>
  <si>
    <t>18578</t>
  </si>
  <si>
    <t>15947</t>
  </si>
  <si>
    <t>18637</t>
  </si>
  <si>
    <t>997</t>
  </si>
  <si>
    <t>18581</t>
  </si>
  <si>
    <t>18577</t>
  </si>
  <si>
    <t>912</t>
  </si>
  <si>
    <t>04423</t>
  </si>
  <si>
    <t>18575</t>
  </si>
  <si>
    <t>18579</t>
  </si>
  <si>
    <t>19441</t>
  </si>
  <si>
    <t>18798</t>
  </si>
  <si>
    <t>18921</t>
  </si>
  <si>
    <t>18919</t>
  </si>
  <si>
    <t>18638</t>
  </si>
  <si>
    <t>18642</t>
  </si>
  <si>
    <t>18923</t>
  </si>
  <si>
    <t>18683</t>
  </si>
  <si>
    <t>18576</t>
  </si>
  <si>
    <t>19403</t>
  </si>
  <si>
    <t>18920</t>
  </si>
  <si>
    <t>18922</t>
  </si>
  <si>
    <t>19123</t>
  </si>
  <si>
    <t>05001</t>
  </si>
  <si>
    <t>19357</t>
  </si>
  <si>
    <t>931</t>
  </si>
  <si>
    <t>19358</t>
  </si>
  <si>
    <t>19124</t>
  </si>
  <si>
    <t>19442</t>
  </si>
  <si>
    <t>963</t>
  </si>
  <si>
    <t>19356</t>
  </si>
  <si>
    <t>930</t>
  </si>
  <si>
    <t>19359</t>
  </si>
  <si>
    <t>19581</t>
  </si>
  <si>
    <t>19095</t>
  </si>
  <si>
    <t>15764</t>
  </si>
  <si>
    <t>19440</t>
  </si>
  <si>
    <t>19406</t>
  </si>
  <si>
    <t>19326</t>
  </si>
  <si>
    <t>19325</t>
  </si>
  <si>
    <t>19355</t>
  </si>
  <si>
    <t>04402</t>
  </si>
  <si>
    <t>134</t>
  </si>
  <si>
    <t>19091</t>
  </si>
  <si>
    <t>932</t>
  </si>
  <si>
    <t>933</t>
  </si>
  <si>
    <t>987</t>
  </si>
  <si>
    <t>939</t>
  </si>
  <si>
    <t>13299</t>
  </si>
  <si>
    <t>913</t>
  </si>
  <si>
    <t>955</t>
  </si>
  <si>
    <t>13233</t>
  </si>
  <si>
    <t>11795</t>
  </si>
  <si>
    <t>11850</t>
  </si>
  <si>
    <t>10398</t>
  </si>
  <si>
    <t>12937</t>
  </si>
  <si>
    <t>13034</t>
  </si>
  <si>
    <t>19502</t>
  </si>
  <si>
    <t>10799</t>
  </si>
  <si>
    <t>10800</t>
  </si>
  <si>
    <t>11132</t>
  </si>
  <si>
    <t>12725</t>
  </si>
  <si>
    <t>11446</t>
  </si>
  <si>
    <t>07417</t>
  </si>
  <si>
    <t>07846</t>
  </si>
  <si>
    <t>08455</t>
  </si>
  <si>
    <t>17847</t>
  </si>
  <si>
    <t>09178</t>
  </si>
  <si>
    <t>09177</t>
  </si>
  <si>
    <t>19504</t>
  </si>
  <si>
    <t>19503</t>
  </si>
  <si>
    <t>05094</t>
  </si>
  <si>
    <t>01072</t>
  </si>
  <si>
    <t>01102</t>
  </si>
  <si>
    <t>01107</t>
  </si>
  <si>
    <t>03883</t>
  </si>
  <si>
    <t>03886</t>
  </si>
  <si>
    <t>03880</t>
  </si>
  <si>
    <t>03653</t>
  </si>
  <si>
    <t>01092</t>
  </si>
  <si>
    <t>01093</t>
  </si>
  <si>
    <t>01086</t>
  </si>
  <si>
    <t>17849</t>
  </si>
  <si>
    <t>17848</t>
  </si>
  <si>
    <t>05089</t>
  </si>
  <si>
    <t>03417</t>
  </si>
  <si>
    <t>00659</t>
  </si>
  <si>
    <t>07940</t>
  </si>
  <si>
    <t>08637</t>
  </si>
  <si>
    <t>08882</t>
  </si>
  <si>
    <t>03858</t>
  </si>
  <si>
    <t>07998</t>
  </si>
  <si>
    <t>038</t>
  </si>
  <si>
    <t>08283</t>
  </si>
  <si>
    <t>05945</t>
  </si>
  <si>
    <t>05254</t>
  </si>
  <si>
    <t>02071</t>
  </si>
  <si>
    <t>01760</t>
  </si>
  <si>
    <t>10397</t>
  </si>
  <si>
    <t>03871</t>
  </si>
  <si>
    <t>00873</t>
  </si>
  <si>
    <t>00875</t>
  </si>
  <si>
    <t>01825</t>
  </si>
  <si>
    <t>01826</t>
  </si>
  <si>
    <t>01477</t>
  </si>
  <si>
    <t>01478</t>
  </si>
  <si>
    <t>00430</t>
  </si>
  <si>
    <t>00500</t>
  </si>
  <si>
    <t>00999</t>
  </si>
  <si>
    <t>01055</t>
  </si>
  <si>
    <t>04720</t>
  </si>
  <si>
    <t>04191</t>
  </si>
  <si>
    <t>00994</t>
  </si>
  <si>
    <t>00995</t>
  </si>
  <si>
    <t>01042</t>
  </si>
  <si>
    <t>01043</t>
  </si>
  <si>
    <t>01382</t>
  </si>
  <si>
    <t>03881</t>
  </si>
  <si>
    <t>01341</t>
  </si>
  <si>
    <t>01340</t>
  </si>
  <si>
    <t>01342</t>
  </si>
  <si>
    <t>01709</t>
  </si>
  <si>
    <t>07226</t>
  </si>
  <si>
    <t>09966</t>
  </si>
  <si>
    <t>08881</t>
  </si>
  <si>
    <t>00611</t>
  </si>
  <si>
    <t>00610</t>
  </si>
  <si>
    <t>12168</t>
  </si>
  <si>
    <t>01946</t>
  </si>
  <si>
    <t>01945</t>
  </si>
  <si>
    <t>00773</t>
  </si>
  <si>
    <t>01419</t>
  </si>
  <si>
    <t>00409</t>
  </si>
  <si>
    <t>03884</t>
  </si>
  <si>
    <t>01657</t>
  </si>
  <si>
    <t>01278</t>
  </si>
  <si>
    <t>01280</t>
  </si>
  <si>
    <t>04264</t>
  </si>
  <si>
    <t>00580</t>
  </si>
  <si>
    <t>04267</t>
  </si>
  <si>
    <t>04262</t>
  </si>
  <si>
    <t>04266</t>
  </si>
  <si>
    <t>04265</t>
  </si>
  <si>
    <t>02020</t>
  </si>
  <si>
    <t>11325</t>
  </si>
  <si>
    <t>07944</t>
  </si>
  <si>
    <t>05944</t>
  </si>
  <si>
    <t>00997</t>
  </si>
  <si>
    <t>00503</t>
  </si>
  <si>
    <t>11647</t>
  </si>
  <si>
    <t>03444</t>
  </si>
  <si>
    <t>01474</t>
  </si>
  <si>
    <t>01242</t>
  </si>
  <si>
    <t>01243</t>
  </si>
  <si>
    <t>04580</t>
  </si>
  <si>
    <t>06471</t>
  </si>
  <si>
    <t>08454</t>
  </si>
  <si>
    <t>05251</t>
  </si>
  <si>
    <t>08453</t>
  </si>
  <si>
    <t>05250</t>
  </si>
  <si>
    <t>19501</t>
  </si>
  <si>
    <t>17616</t>
  </si>
  <si>
    <t>07539</t>
  </si>
  <si>
    <t>00895</t>
  </si>
  <si>
    <t>00896</t>
  </si>
  <si>
    <t>00894</t>
  </si>
  <si>
    <t>ອັນ</t>
  </si>
  <si>
    <t>ຜືນ</t>
  </si>
  <si>
    <t>ໜ່ວຍ</t>
  </si>
  <si>
    <t>ເມັດTab</t>
  </si>
  <si>
    <t>ກະປຸກ</t>
  </si>
  <si>
    <t>ຖົງ(20)</t>
  </si>
  <si>
    <t>ແຄັບຊູນ</t>
  </si>
  <si>
    <t xml:space="preserve"> ໄພວານາ ຄຼີມ 14% 15g BDC</t>
  </si>
  <si>
    <t xml:space="preserve"> Clenascar acne spot gel 7g</t>
  </si>
  <si>
    <t xml:space="preserve"> ມູໂຄບ໋ອກ ນໍ້າ 60ml BDC</t>
  </si>
  <si>
    <t xml:space="preserve"> ໄດອາບີເດີມ ໂລຊັ່ນ 10% (ສີຂຽວ) 200ml BDC</t>
  </si>
  <si>
    <t xml:space="preserve"> ແອນແຊັກ ຟູໂລຊິຕິນ 20mg 500ເມັດ/ປ໋ອງ BDC</t>
  </si>
  <si>
    <t xml:space="preserve"> ຟາຕຸດຊິນ 10ແຜງ/ກັບ 15mg FML</t>
  </si>
  <si>
    <t xml:space="preserve"> Clenascar gel 15g BDC</t>
  </si>
  <si>
    <t xml:space="preserve"> Raqua glow facce wash 50ml</t>
  </si>
  <si>
    <t xml:space="preserve"> Raqua cleansing gel 80ml</t>
  </si>
  <si>
    <t>Sale Report Of Pharmma Alliance Company By August 2026</t>
  </si>
  <si>
    <t>Sale Report Of Alliance Company By August 2026 SSA1 (ສີຫອມ)</t>
  </si>
  <si>
    <t>Sale Report Of Alliance Company By August 2026 SSA2 (T2)</t>
  </si>
  <si>
    <t>Sale Report Of Alliance Company By August 2026 SSA3 (ສະພານທອງ)</t>
  </si>
  <si>
    <t>Sale Report Of Alliance Company By August 2026 SSA5 (ຈອມມະນີ)</t>
  </si>
  <si>
    <t>Sale Report Of Royal-D Alliance By August 2026 SSA6 (ແສງສະຫວ່າງ)</t>
  </si>
  <si>
    <t>Sale Report Of Alliance Company By August 2026 SSA7 (ສາຂາເກົ້າຍອດ)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</si>
</sst>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Saysettha OT"/>
      <family val="2"/>
    </font>
    <font>
      <sz val="11"/>
      <name val="Saysettha OT"/>
      <family val="2"/>
    </font>
    <font>
      <b/>
      <sz val="11"/>
      <color rgb="FFFF0000"/>
      <name val="Saysettha OT"/>
      <family val="2"/>
    </font>
    <font>
      <b/>
      <u/>
      <sz val="11"/>
      <name val="Saysettha OT"/>
      <family val="2"/>
    </font>
    <font>
      <sz val="11"/>
      <color theme="1"/>
      <name val="Saysettha O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3" fillId="0" borderId="1" xfId="0" quotePrefix="1" applyNumberFormat="1" applyFont="1" applyBorder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164" fontId="2" fillId="0" borderId="0" xfId="1" applyNumberFormat="1" applyFont="1" applyBorder="1"/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/>
    <xf numFmtId="0" fontId="2" fillId="0" borderId="1" xfId="1" applyNumberFormat="1" applyFont="1" applyBorder="1" applyAlignment="1">
      <alignment horizontal="center" vertical="center"/>
    </xf>
    <xf numFmtId="49" fontId="6" fillId="0" borderId="0" xfId="0" applyNumberFormat="1" applyFont="1"/>
    <xf numFmtId="0" fontId="2" fillId="0" borderId="1" xfId="0" applyFont="1" applyBorder="1" applyAlignment="1">
      <alignment horizontal="center" wrapText="1"/>
    </xf>
    <xf numFmtId="0" fontId="2" fillId="0" borderId="0" xfId="0" applyFont="1"/>
    <xf numFmtId="164" fontId="3" fillId="0" borderId="1" xfId="1" applyNumberFormat="1" applyFont="1" applyBorder="1"/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6" fillId="0" borderId="1" xfId="0" quotePrefix="1" applyFont="1" applyBorder="1"/>
    <xf numFmtId="0" fontId="6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DB42-DAC4-4843-9BD3-5DA3253510DD}">
  <dimension ref="A1:J245"/>
  <sheetViews>
    <sheetView topLeftCell="A238" workbookViewId="0">
      <selection sqref="A1:C1"/>
    </sheetView>
  </sheetViews>
  <sheetFormatPr defaultRowHeight="22.2" customHeight="1" x14ac:dyDescent="0.55000000000000004"/>
  <cols>
    <col min="1" max="1" width="4.88671875" style="17" customWidth="1"/>
    <col min="2" max="2" width="8.88671875" style="20"/>
    <col min="3" max="3" width="58.109375" style="16" bestFit="1" customWidth="1"/>
    <col min="4" max="4" width="8.88671875" style="16"/>
    <col min="5" max="5" width="8.88671875" style="24"/>
    <col min="6" max="16384" width="8.88671875" style="16"/>
  </cols>
  <sheetData>
    <row r="1" spans="1:10" ht="22.2" customHeight="1" x14ac:dyDescent="0.55000000000000004">
      <c r="A1" s="35" t="s">
        <v>590</v>
      </c>
      <c r="B1" s="35"/>
      <c r="C1" s="35"/>
    </row>
    <row r="2" spans="1:10" ht="22.2" customHeight="1" x14ac:dyDescent="0.55000000000000004">
      <c r="A2" s="1" t="s">
        <v>0</v>
      </c>
      <c r="B2" s="2" t="s">
        <v>1</v>
      </c>
      <c r="C2" s="1" t="s">
        <v>2</v>
      </c>
      <c r="D2" s="1" t="s">
        <v>3</v>
      </c>
      <c r="E2" s="21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spans="1:10" ht="22.2" customHeight="1" x14ac:dyDescent="0.55000000000000004">
      <c r="A3" s="15">
        <v>1</v>
      </c>
      <c r="B3" s="36" t="s">
        <v>399</v>
      </c>
      <c r="C3" s="37" t="s">
        <v>158</v>
      </c>
      <c r="D3" s="37" t="s">
        <v>574</v>
      </c>
      <c r="E3" s="25" t="str">
        <f>IFERROR(INDEX('SSA1'!E:E,MATCH(Total!B3,'SSA1'!B:B,0)),"-")</f>
        <v>-</v>
      </c>
      <c r="F3" s="25" t="str">
        <f>IFERROR(INDEX('SSA2'!E:E,MATCH(Total!B3,'SSA2'!B:B,0)),"-")</f>
        <v>-</v>
      </c>
      <c r="G3" s="15" t="str">
        <f>IFERROR(INDEX('SSA3'!E:E,MATCH(Total!B3,'SSA3'!B:B,0)),"-")</f>
        <v>-</v>
      </c>
      <c r="H3" s="15" t="str">
        <f>IFERROR(INDEX('SSA5'!E:E,MATCH(Total!B3,'SSA5'!B:B,0)),"-")</f>
        <v>-</v>
      </c>
      <c r="I3" s="15" t="str">
        <f>IFERROR(INDEX('SSA6'!E:E,MATCH(Total!B3,'SSA6'!B:B,0)),"-")</f>
        <v>-</v>
      </c>
      <c r="J3" s="15" t="str">
        <f>IFERROR(INDEX('SSA7'!E:E,MATCH(Total!B3,'SSA7'!B:B,0)),"-")</f>
        <v>-</v>
      </c>
    </row>
    <row r="4" spans="1:10" ht="22.2" customHeight="1" x14ac:dyDescent="0.55000000000000004">
      <c r="A4" s="15">
        <v>2</v>
      </c>
      <c r="B4" s="36" t="s">
        <v>400</v>
      </c>
      <c r="C4" s="37" t="s">
        <v>159</v>
      </c>
      <c r="D4" s="37" t="s">
        <v>111</v>
      </c>
      <c r="E4" s="25" t="str">
        <f>IFERROR(INDEX('SSA1'!E:E,MATCH(Total!B4,'SSA1'!B:B,0)),"-")</f>
        <v>-</v>
      </c>
      <c r="F4" s="25" t="str">
        <f>IFERROR(INDEX('SSA2'!E:E,MATCH(Total!B4,'SSA2'!B:B,0)),"-")</f>
        <v>-</v>
      </c>
      <c r="G4" s="15" t="str">
        <f>IFERROR(INDEX('SSA3'!E:E,MATCH(Total!B4,'SSA3'!B:B,0)),"-")</f>
        <v>-</v>
      </c>
      <c r="H4" s="15" t="str">
        <f>IFERROR(INDEX('SSA5'!E:E,MATCH(Total!B4,'SSA5'!B:B,0)),"-")</f>
        <v>-</v>
      </c>
      <c r="I4" s="15" t="str">
        <f>IFERROR(INDEX('SSA6'!E:E,MATCH(Total!B4,'SSA6'!B:B,0)),"-")</f>
        <v>-</v>
      </c>
      <c r="J4" s="15" t="str">
        <f>IFERROR(INDEX('SSA7'!E:E,MATCH(Total!B4,'SSA7'!B:B,0)),"-")</f>
        <v>-</v>
      </c>
    </row>
    <row r="5" spans="1:10" ht="22.2" customHeight="1" x14ac:dyDescent="0.55000000000000004">
      <c r="A5" s="15">
        <v>3</v>
      </c>
      <c r="B5" s="36" t="s">
        <v>401</v>
      </c>
      <c r="C5" s="37" t="s">
        <v>160</v>
      </c>
      <c r="D5" s="37" t="s">
        <v>574</v>
      </c>
      <c r="E5" s="25" t="str">
        <f>IFERROR(INDEX('SSA1'!E:E,MATCH(Total!B5,'SSA1'!B:B,0)),"-")</f>
        <v>-</v>
      </c>
      <c r="F5" s="25" t="str">
        <f>IFERROR(INDEX('SSA2'!E:E,MATCH(Total!B5,'SSA2'!B:B,0)),"-")</f>
        <v>-</v>
      </c>
      <c r="G5" s="15" t="str">
        <f>IFERROR(INDEX('SSA3'!E:E,MATCH(Total!B5,'SSA3'!B:B,0)),"-")</f>
        <v>-</v>
      </c>
      <c r="H5" s="15" t="str">
        <f>IFERROR(INDEX('SSA5'!E:E,MATCH(Total!B5,'SSA5'!B:B,0)),"-")</f>
        <v>-</v>
      </c>
      <c r="I5" s="15" t="str">
        <f>IFERROR(INDEX('SSA6'!E:E,MATCH(Total!B5,'SSA6'!B:B,0)),"-")</f>
        <v>-</v>
      </c>
      <c r="J5" s="15" t="str">
        <f>IFERROR(INDEX('SSA7'!E:E,MATCH(Total!B5,'SSA7'!B:B,0)),"-")</f>
        <v>-</v>
      </c>
    </row>
    <row r="6" spans="1:10" ht="22.2" customHeight="1" x14ac:dyDescent="0.55000000000000004">
      <c r="A6" s="15">
        <v>4</v>
      </c>
      <c r="B6" s="36" t="s">
        <v>402</v>
      </c>
      <c r="C6" s="37" t="s">
        <v>161</v>
      </c>
      <c r="D6" s="37" t="s">
        <v>25</v>
      </c>
      <c r="E6" s="25" t="str">
        <f>IFERROR(INDEX('SSA1'!E:E,MATCH(Total!B6,'SSA1'!B:B,0)),"-")</f>
        <v>-</v>
      </c>
      <c r="F6" s="25" t="str">
        <f>IFERROR(INDEX('SSA2'!E:E,MATCH(Total!B6,'SSA2'!B:B,0)),"-")</f>
        <v>-</v>
      </c>
      <c r="G6" s="15" t="str">
        <f>IFERROR(INDEX('SSA3'!E:E,MATCH(Total!B6,'SSA3'!B:B,0)),"-")</f>
        <v>-</v>
      </c>
      <c r="H6" s="15" t="str">
        <f>IFERROR(INDEX('SSA5'!E:E,MATCH(Total!B6,'SSA5'!B:B,0)),"-")</f>
        <v>-</v>
      </c>
      <c r="I6" s="15" t="str">
        <f>IFERROR(INDEX('SSA6'!E:E,MATCH(Total!B6,'SSA6'!B:B,0)),"-")</f>
        <v>-</v>
      </c>
      <c r="J6" s="15" t="str">
        <f>IFERROR(INDEX('SSA7'!E:E,MATCH(Total!B6,'SSA7'!B:B,0)),"-")</f>
        <v>-</v>
      </c>
    </row>
    <row r="7" spans="1:10" ht="22.2" customHeight="1" x14ac:dyDescent="0.55000000000000004">
      <c r="A7" s="15">
        <v>5</v>
      </c>
      <c r="B7" s="36" t="s">
        <v>403</v>
      </c>
      <c r="C7" s="37" t="s">
        <v>162</v>
      </c>
      <c r="D7" s="37" t="s">
        <v>575</v>
      </c>
      <c r="E7" s="25" t="str">
        <f>IFERROR(INDEX('SSA1'!E:E,MATCH(Total!B7,'SSA1'!B:B,0)),"-")</f>
        <v>-</v>
      </c>
      <c r="F7" s="25" t="str">
        <f>IFERROR(INDEX('SSA2'!E:E,MATCH(Total!B7,'SSA2'!B:B,0)),"-")</f>
        <v>-</v>
      </c>
      <c r="G7" s="15" t="str">
        <f>IFERROR(INDEX('SSA3'!E:E,MATCH(Total!B7,'SSA3'!B:B,0)),"-")</f>
        <v>-</v>
      </c>
      <c r="H7" s="15" t="str">
        <f>IFERROR(INDEX('SSA5'!E:E,MATCH(Total!B7,'SSA5'!B:B,0)),"-")</f>
        <v>-</v>
      </c>
      <c r="I7" s="15" t="str">
        <f>IFERROR(INDEX('SSA6'!E:E,MATCH(Total!B7,'SSA6'!B:B,0)),"-")</f>
        <v>-</v>
      </c>
      <c r="J7" s="15" t="str">
        <f>IFERROR(INDEX('SSA7'!E:E,MATCH(Total!B7,'SSA7'!B:B,0)),"-")</f>
        <v>-</v>
      </c>
    </row>
    <row r="8" spans="1:10" ht="22.2" customHeight="1" x14ac:dyDescent="0.55000000000000004">
      <c r="A8" s="15">
        <v>6</v>
      </c>
      <c r="B8" s="36" t="s">
        <v>404</v>
      </c>
      <c r="C8" s="37" t="s">
        <v>163</v>
      </c>
      <c r="D8" s="37" t="s">
        <v>574</v>
      </c>
      <c r="E8" s="25" t="str">
        <f>IFERROR(INDEX('SSA1'!E:E,MATCH(Total!B8,'SSA1'!B:B,0)),"-")</f>
        <v>-</v>
      </c>
      <c r="F8" s="25" t="str">
        <f>IFERROR(INDEX('SSA2'!E:E,MATCH(Total!B8,'SSA2'!B:B,0)),"-")</f>
        <v>-</v>
      </c>
      <c r="G8" s="15" t="str">
        <f>IFERROR(INDEX('SSA3'!E:E,MATCH(Total!B8,'SSA3'!B:B,0)),"-")</f>
        <v>-</v>
      </c>
      <c r="H8" s="15" t="str">
        <f>IFERROR(INDEX('SSA5'!E:E,MATCH(Total!B8,'SSA5'!B:B,0)),"-")</f>
        <v>-</v>
      </c>
      <c r="I8" s="15" t="str">
        <f>IFERROR(INDEX('SSA6'!E:E,MATCH(Total!B8,'SSA6'!B:B,0)),"-")</f>
        <v>-</v>
      </c>
      <c r="J8" s="15" t="str">
        <f>IFERROR(INDEX('SSA7'!E:E,MATCH(Total!B8,'SSA7'!B:B,0)),"-")</f>
        <v>-</v>
      </c>
    </row>
    <row r="9" spans="1:10" ht="22.2" customHeight="1" x14ac:dyDescent="0.55000000000000004">
      <c r="A9" s="15">
        <v>7</v>
      </c>
      <c r="B9" s="36" t="s">
        <v>405</v>
      </c>
      <c r="C9" s="37" t="s">
        <v>164</v>
      </c>
      <c r="D9" s="37" t="s">
        <v>576</v>
      </c>
      <c r="E9" s="25" t="str">
        <f>IFERROR(INDEX('SSA1'!E:E,MATCH(Total!B9,'SSA1'!B:B,0)),"-")</f>
        <v>-</v>
      </c>
      <c r="F9" s="25" t="str">
        <f>IFERROR(INDEX('SSA2'!E:E,MATCH(Total!B9,'SSA2'!B:B,0)),"-")</f>
        <v>-</v>
      </c>
      <c r="G9" s="15" t="str">
        <f>IFERROR(INDEX('SSA3'!E:E,MATCH(Total!B9,'SSA3'!B:B,0)),"-")</f>
        <v>-</v>
      </c>
      <c r="H9" s="15" t="str">
        <f>IFERROR(INDEX('SSA5'!E:E,MATCH(Total!B9,'SSA5'!B:B,0)),"-")</f>
        <v>-</v>
      </c>
      <c r="I9" s="15" t="str">
        <f>IFERROR(INDEX('SSA6'!E:E,MATCH(Total!B9,'SSA6'!B:B,0)),"-")</f>
        <v>-</v>
      </c>
      <c r="J9" s="15" t="str">
        <f>IFERROR(INDEX('SSA7'!E:E,MATCH(Total!B9,'SSA7'!B:B,0)),"-")</f>
        <v>-</v>
      </c>
    </row>
    <row r="10" spans="1:10" ht="22.2" customHeight="1" x14ac:dyDescent="0.55000000000000004">
      <c r="A10" s="15">
        <v>8</v>
      </c>
      <c r="B10" s="36" t="s">
        <v>406</v>
      </c>
      <c r="C10" s="37" t="s">
        <v>165</v>
      </c>
      <c r="D10" s="37" t="s">
        <v>576</v>
      </c>
      <c r="E10" s="25" t="str">
        <f>IFERROR(INDEX('SSA1'!E:E,MATCH(Total!B10,'SSA1'!B:B,0)),"-")</f>
        <v>-</v>
      </c>
      <c r="F10" s="25" t="str">
        <f>IFERROR(INDEX('SSA2'!E:E,MATCH(Total!B10,'SSA2'!B:B,0)),"-")</f>
        <v>-</v>
      </c>
      <c r="G10" s="15" t="str">
        <f>IFERROR(INDEX('SSA3'!E:E,MATCH(Total!B10,'SSA3'!B:B,0)),"-")</f>
        <v>-</v>
      </c>
      <c r="H10" s="15" t="str">
        <f>IFERROR(INDEX('SSA5'!E:E,MATCH(Total!B10,'SSA5'!B:B,0)),"-")</f>
        <v>-</v>
      </c>
      <c r="I10" s="15" t="str">
        <f>IFERROR(INDEX('SSA6'!E:E,MATCH(Total!B10,'SSA6'!B:B,0)),"-")</f>
        <v>-</v>
      </c>
      <c r="J10" s="15" t="str">
        <f>IFERROR(INDEX('SSA7'!E:E,MATCH(Total!B10,'SSA7'!B:B,0)),"-")</f>
        <v>-</v>
      </c>
    </row>
    <row r="11" spans="1:10" ht="22.2" customHeight="1" x14ac:dyDescent="0.55000000000000004">
      <c r="A11" s="15">
        <v>9</v>
      </c>
      <c r="B11" s="36" t="s">
        <v>407</v>
      </c>
      <c r="C11" s="37" t="s">
        <v>166</v>
      </c>
      <c r="D11" s="37" t="s">
        <v>25</v>
      </c>
      <c r="E11" s="25" t="str">
        <f>IFERROR(INDEX('SSA1'!E:E,MATCH(Total!B11,'SSA1'!B:B,0)),"-")</f>
        <v>-</v>
      </c>
      <c r="F11" s="25" t="str">
        <f>IFERROR(INDEX('SSA2'!E:E,MATCH(Total!B11,'SSA2'!B:B,0)),"-")</f>
        <v>-</v>
      </c>
      <c r="G11" s="15" t="str">
        <f>IFERROR(INDEX('SSA3'!E:E,MATCH(Total!B11,'SSA3'!B:B,0)),"-")</f>
        <v>-</v>
      </c>
      <c r="H11" s="15" t="str">
        <f>IFERROR(INDEX('SSA5'!E:E,MATCH(Total!B11,'SSA5'!B:B,0)),"-")</f>
        <v>-</v>
      </c>
      <c r="I11" s="15" t="str">
        <f>IFERROR(INDEX('SSA6'!E:E,MATCH(Total!B11,'SSA6'!B:B,0)),"-")</f>
        <v>-</v>
      </c>
      <c r="J11" s="15" t="str">
        <f>IFERROR(INDEX('SSA7'!E:E,MATCH(Total!B11,'SSA7'!B:B,0)),"-")</f>
        <v>-</v>
      </c>
    </row>
    <row r="12" spans="1:10" ht="22.2" customHeight="1" x14ac:dyDescent="0.55000000000000004">
      <c r="A12" s="15">
        <v>10</v>
      </c>
      <c r="B12" s="36" t="s">
        <v>408</v>
      </c>
      <c r="C12" s="37" t="s">
        <v>167</v>
      </c>
      <c r="D12" s="37" t="s">
        <v>111</v>
      </c>
      <c r="E12" s="25" t="str">
        <f>IFERROR(INDEX('SSA1'!E:E,MATCH(Total!B12,'SSA1'!B:B,0)),"-")</f>
        <v>-</v>
      </c>
      <c r="F12" s="25" t="str">
        <f>IFERROR(INDEX('SSA2'!E:E,MATCH(Total!B12,'SSA2'!B:B,0)),"-")</f>
        <v>-</v>
      </c>
      <c r="G12" s="15" t="str">
        <f>IFERROR(INDEX('SSA3'!E:E,MATCH(Total!B12,'SSA3'!B:B,0)),"-")</f>
        <v>-</v>
      </c>
      <c r="H12" s="15" t="str">
        <f>IFERROR(INDEX('SSA5'!E:E,MATCH(Total!B12,'SSA5'!B:B,0)),"-")</f>
        <v>-</v>
      </c>
      <c r="I12" s="15" t="str">
        <f>IFERROR(INDEX('SSA6'!E:E,MATCH(Total!B12,'SSA6'!B:B,0)),"-")</f>
        <v>-</v>
      </c>
      <c r="J12" s="15" t="str">
        <f>IFERROR(INDEX('SSA7'!E:E,MATCH(Total!B12,'SSA7'!B:B,0)),"-")</f>
        <v>-</v>
      </c>
    </row>
    <row r="13" spans="1:10" ht="22.2" customHeight="1" x14ac:dyDescent="0.55000000000000004">
      <c r="A13" s="15">
        <v>11</v>
      </c>
      <c r="B13" s="36" t="s">
        <v>409</v>
      </c>
      <c r="C13" s="37" t="s">
        <v>168</v>
      </c>
      <c r="D13" s="37" t="s">
        <v>25</v>
      </c>
      <c r="E13" s="25" t="str">
        <f>IFERROR(INDEX('SSA1'!E:E,MATCH(Total!B13,'SSA1'!B:B,0)),"-")</f>
        <v>-</v>
      </c>
      <c r="F13" s="25" t="str">
        <f>IFERROR(INDEX('SSA2'!E:E,MATCH(Total!B13,'SSA2'!B:B,0)),"-")</f>
        <v>-</v>
      </c>
      <c r="G13" s="15" t="str">
        <f>IFERROR(INDEX('SSA3'!E:E,MATCH(Total!B13,'SSA3'!B:B,0)),"-")</f>
        <v>-</v>
      </c>
      <c r="H13" s="15" t="str">
        <f>IFERROR(INDEX('SSA5'!E:E,MATCH(Total!B13,'SSA5'!B:B,0)),"-")</f>
        <v>-</v>
      </c>
      <c r="I13" s="15" t="str">
        <f>IFERROR(INDEX('SSA6'!E:E,MATCH(Total!B13,'SSA6'!B:B,0)),"-")</f>
        <v>-</v>
      </c>
      <c r="J13" s="15" t="str">
        <f>IFERROR(INDEX('SSA7'!E:E,MATCH(Total!B13,'SSA7'!B:B,0)),"-")</f>
        <v>-</v>
      </c>
    </row>
    <row r="14" spans="1:10" ht="22.2" customHeight="1" x14ac:dyDescent="0.55000000000000004">
      <c r="A14" s="15">
        <v>12</v>
      </c>
      <c r="B14" s="36" t="s">
        <v>410</v>
      </c>
      <c r="C14" s="37" t="s">
        <v>169</v>
      </c>
      <c r="D14" s="37" t="s">
        <v>25</v>
      </c>
      <c r="E14" s="25" t="str">
        <f>IFERROR(INDEX('SSA1'!E:E,MATCH(Total!B14,'SSA1'!B:B,0)),"-")</f>
        <v>-</v>
      </c>
      <c r="F14" s="25" t="str">
        <f>IFERROR(INDEX('SSA2'!E:E,MATCH(Total!B14,'SSA2'!B:B,0)),"-")</f>
        <v>-</v>
      </c>
      <c r="G14" s="15" t="str">
        <f>IFERROR(INDEX('SSA3'!E:E,MATCH(Total!B14,'SSA3'!B:B,0)),"-")</f>
        <v>-</v>
      </c>
      <c r="H14" s="15" t="str">
        <f>IFERROR(INDEX('SSA5'!E:E,MATCH(Total!B14,'SSA5'!B:B,0)),"-")</f>
        <v>-</v>
      </c>
      <c r="I14" s="15" t="str">
        <f>IFERROR(INDEX('SSA6'!E:E,MATCH(Total!B14,'SSA6'!B:B,0)),"-")</f>
        <v>-</v>
      </c>
      <c r="J14" s="15" t="str">
        <f>IFERROR(INDEX('SSA7'!E:E,MATCH(Total!B14,'SSA7'!B:B,0)),"-")</f>
        <v>-</v>
      </c>
    </row>
    <row r="15" spans="1:10" ht="22.2" customHeight="1" x14ac:dyDescent="0.55000000000000004">
      <c r="A15" s="15">
        <v>13</v>
      </c>
      <c r="B15" s="36" t="s">
        <v>411</v>
      </c>
      <c r="C15" s="37" t="s">
        <v>170</v>
      </c>
      <c r="D15" s="37" t="s">
        <v>25</v>
      </c>
      <c r="E15" s="25" t="str">
        <f>IFERROR(INDEX('SSA1'!E:E,MATCH(Total!B15,'SSA1'!B:B,0)),"-")</f>
        <v>-</v>
      </c>
      <c r="F15" s="25" t="str">
        <f>IFERROR(INDEX('SSA2'!E:E,MATCH(Total!B15,'SSA2'!B:B,0)),"-")</f>
        <v>-</v>
      </c>
      <c r="G15" s="15" t="str">
        <f>IFERROR(INDEX('SSA3'!E:E,MATCH(Total!B15,'SSA3'!B:B,0)),"-")</f>
        <v>-</v>
      </c>
      <c r="H15" s="15" t="str">
        <f>IFERROR(INDEX('SSA5'!E:E,MATCH(Total!B15,'SSA5'!B:B,0)),"-")</f>
        <v>-</v>
      </c>
      <c r="I15" s="15" t="str">
        <f>IFERROR(INDEX('SSA6'!E:E,MATCH(Total!B15,'SSA6'!B:B,0)),"-")</f>
        <v>-</v>
      </c>
      <c r="J15" s="15" t="str">
        <f>IFERROR(INDEX('SSA7'!E:E,MATCH(Total!B15,'SSA7'!B:B,0)),"-")</f>
        <v>-</v>
      </c>
    </row>
    <row r="16" spans="1:10" ht="22.2" customHeight="1" x14ac:dyDescent="0.55000000000000004">
      <c r="A16" s="15">
        <v>14</v>
      </c>
      <c r="B16" s="36" t="s">
        <v>412</v>
      </c>
      <c r="C16" s="37" t="s">
        <v>171</v>
      </c>
      <c r="D16" s="37" t="s">
        <v>4</v>
      </c>
      <c r="E16" s="25" t="str">
        <f>IFERROR(INDEX('SSA1'!E:E,MATCH(Total!B16,'SSA1'!B:B,0)),"-")</f>
        <v>-</v>
      </c>
      <c r="F16" s="25" t="str">
        <f>IFERROR(INDEX('SSA2'!E:E,MATCH(Total!B16,'SSA2'!B:B,0)),"-")</f>
        <v>-</v>
      </c>
      <c r="G16" s="15" t="str">
        <f>IFERROR(INDEX('SSA3'!E:E,MATCH(Total!B16,'SSA3'!B:B,0)),"-")</f>
        <v>-</v>
      </c>
      <c r="H16" s="15" t="str">
        <f>IFERROR(INDEX('SSA5'!E:E,MATCH(Total!B16,'SSA5'!B:B,0)),"-")</f>
        <v>-</v>
      </c>
      <c r="I16" s="15" t="str">
        <f>IFERROR(INDEX('SSA6'!E:E,MATCH(Total!B16,'SSA6'!B:B,0)),"-")</f>
        <v>-</v>
      </c>
      <c r="J16" s="15" t="str">
        <f>IFERROR(INDEX('SSA7'!E:E,MATCH(Total!B16,'SSA7'!B:B,0)),"-")</f>
        <v>-</v>
      </c>
    </row>
    <row r="17" spans="1:10" ht="22.2" customHeight="1" x14ac:dyDescent="0.55000000000000004">
      <c r="A17" s="15">
        <v>15</v>
      </c>
      <c r="B17" s="36" t="s">
        <v>413</v>
      </c>
      <c r="C17" s="37" t="s">
        <v>172</v>
      </c>
      <c r="D17" s="37" t="s">
        <v>4</v>
      </c>
      <c r="E17" s="25" t="str">
        <f>IFERROR(INDEX('SSA1'!E:E,MATCH(Total!B17,'SSA1'!B:B,0)),"-")</f>
        <v>-</v>
      </c>
      <c r="F17" s="25" t="str">
        <f>IFERROR(INDEX('SSA2'!E:E,MATCH(Total!B17,'SSA2'!B:B,0)),"-")</f>
        <v>-</v>
      </c>
      <c r="G17" s="15" t="str">
        <f>IFERROR(INDEX('SSA3'!E:E,MATCH(Total!B17,'SSA3'!B:B,0)),"-")</f>
        <v>-</v>
      </c>
      <c r="H17" s="15" t="str">
        <f>IFERROR(INDEX('SSA5'!E:E,MATCH(Total!B17,'SSA5'!B:B,0)),"-")</f>
        <v>-</v>
      </c>
      <c r="I17" s="15" t="str">
        <f>IFERROR(INDEX('SSA6'!E:E,MATCH(Total!B17,'SSA6'!B:B,0)),"-")</f>
        <v>-</v>
      </c>
      <c r="J17" s="15" t="str">
        <f>IFERROR(INDEX('SSA7'!E:E,MATCH(Total!B17,'SSA7'!B:B,0)),"-")</f>
        <v>-</v>
      </c>
    </row>
    <row r="18" spans="1:10" ht="22.2" customHeight="1" x14ac:dyDescent="0.55000000000000004">
      <c r="A18" s="15">
        <v>16</v>
      </c>
      <c r="B18" s="36" t="s">
        <v>414</v>
      </c>
      <c r="C18" s="37" t="s">
        <v>173</v>
      </c>
      <c r="D18" s="37" t="s">
        <v>4</v>
      </c>
      <c r="E18" s="25" t="str">
        <f>IFERROR(INDEX('SSA1'!E:E,MATCH(Total!B18,'SSA1'!B:B,0)),"-")</f>
        <v>-</v>
      </c>
      <c r="F18" s="25" t="str">
        <f>IFERROR(INDEX('SSA2'!E:E,MATCH(Total!B18,'SSA2'!B:B,0)),"-")</f>
        <v>-</v>
      </c>
      <c r="G18" s="15" t="str">
        <f>IFERROR(INDEX('SSA3'!E:E,MATCH(Total!B18,'SSA3'!B:B,0)),"-")</f>
        <v>-</v>
      </c>
      <c r="H18" s="15" t="str">
        <f>IFERROR(INDEX('SSA5'!E:E,MATCH(Total!B18,'SSA5'!B:B,0)),"-")</f>
        <v>-</v>
      </c>
      <c r="I18" s="15" t="str">
        <f>IFERROR(INDEX('SSA6'!E:E,MATCH(Total!B18,'SSA6'!B:B,0)),"-")</f>
        <v>-</v>
      </c>
      <c r="J18" s="15" t="str">
        <f>IFERROR(INDEX('SSA7'!E:E,MATCH(Total!B18,'SSA7'!B:B,0)),"-")</f>
        <v>-</v>
      </c>
    </row>
    <row r="19" spans="1:10" ht="22.2" customHeight="1" x14ac:dyDescent="0.55000000000000004">
      <c r="A19" s="15">
        <v>17</v>
      </c>
      <c r="B19" s="36" t="s">
        <v>415</v>
      </c>
      <c r="C19" s="37" t="s">
        <v>174</v>
      </c>
      <c r="D19" s="37" t="s">
        <v>574</v>
      </c>
      <c r="E19" s="25" t="str">
        <f>IFERROR(INDEX('SSA1'!E:E,MATCH(Total!B19,'SSA1'!B:B,0)),"-")</f>
        <v>-</v>
      </c>
      <c r="F19" s="25" t="str">
        <f>IFERROR(INDEX('SSA2'!E:E,MATCH(Total!B19,'SSA2'!B:B,0)),"-")</f>
        <v>-</v>
      </c>
      <c r="G19" s="15" t="str">
        <f>IFERROR(INDEX('SSA3'!E:E,MATCH(Total!B19,'SSA3'!B:B,0)),"-")</f>
        <v>-</v>
      </c>
      <c r="H19" s="15" t="str">
        <f>IFERROR(INDEX('SSA5'!E:E,MATCH(Total!B19,'SSA5'!B:B,0)),"-")</f>
        <v>-</v>
      </c>
      <c r="I19" s="15" t="str">
        <f>IFERROR(INDEX('SSA6'!E:E,MATCH(Total!B19,'SSA6'!B:B,0)),"-")</f>
        <v>-</v>
      </c>
      <c r="J19" s="15" t="str">
        <f>IFERROR(INDEX('SSA7'!E:E,MATCH(Total!B19,'SSA7'!B:B,0)),"-")</f>
        <v>-</v>
      </c>
    </row>
    <row r="20" spans="1:10" ht="22.2" customHeight="1" x14ac:dyDescent="0.55000000000000004">
      <c r="A20" s="15">
        <v>18</v>
      </c>
      <c r="B20" s="36" t="s">
        <v>416</v>
      </c>
      <c r="C20" s="37" t="s">
        <v>175</v>
      </c>
      <c r="D20" s="37" t="s">
        <v>4</v>
      </c>
      <c r="E20" s="25" t="str">
        <f>IFERROR(INDEX('SSA1'!E:E,MATCH(Total!B20,'SSA1'!B:B,0)),"-")</f>
        <v>-</v>
      </c>
      <c r="F20" s="25" t="str">
        <f>IFERROR(INDEX('SSA2'!E:E,MATCH(Total!B20,'SSA2'!B:B,0)),"-")</f>
        <v>-</v>
      </c>
      <c r="G20" s="15" t="str">
        <f>IFERROR(INDEX('SSA3'!E:E,MATCH(Total!B20,'SSA3'!B:B,0)),"-")</f>
        <v>-</v>
      </c>
      <c r="H20" s="15" t="str">
        <f>IFERROR(INDEX('SSA5'!E:E,MATCH(Total!B20,'SSA5'!B:B,0)),"-")</f>
        <v>-</v>
      </c>
      <c r="I20" s="15" t="str">
        <f>IFERROR(INDEX('SSA6'!E:E,MATCH(Total!B20,'SSA6'!B:B,0)),"-")</f>
        <v>-</v>
      </c>
      <c r="J20" s="15" t="str">
        <f>IFERROR(INDEX('SSA7'!E:E,MATCH(Total!B20,'SSA7'!B:B,0)),"-")</f>
        <v>-</v>
      </c>
    </row>
    <row r="21" spans="1:10" ht="22.2" customHeight="1" x14ac:dyDescent="0.55000000000000004">
      <c r="A21" s="15">
        <v>19</v>
      </c>
      <c r="B21" s="36" t="s">
        <v>417</v>
      </c>
      <c r="C21" s="37" t="s">
        <v>176</v>
      </c>
      <c r="D21" s="37" t="s">
        <v>4</v>
      </c>
      <c r="E21" s="25" t="str">
        <f>IFERROR(INDEX('SSA1'!E:E,MATCH(Total!B21,'SSA1'!B:B,0)),"-")</f>
        <v>-</v>
      </c>
      <c r="F21" s="25" t="str">
        <f>IFERROR(INDEX('SSA2'!E:E,MATCH(Total!B21,'SSA2'!B:B,0)),"-")</f>
        <v>-</v>
      </c>
      <c r="G21" s="15" t="str">
        <f>IFERROR(INDEX('SSA3'!E:E,MATCH(Total!B21,'SSA3'!B:B,0)),"-")</f>
        <v>-</v>
      </c>
      <c r="H21" s="15" t="str">
        <f>IFERROR(INDEX('SSA5'!E:E,MATCH(Total!B21,'SSA5'!B:B,0)),"-")</f>
        <v>-</v>
      </c>
      <c r="I21" s="15" t="str">
        <f>IFERROR(INDEX('SSA6'!E:E,MATCH(Total!B21,'SSA6'!B:B,0)),"-")</f>
        <v>-</v>
      </c>
      <c r="J21" s="15" t="str">
        <f>IFERROR(INDEX('SSA7'!E:E,MATCH(Total!B21,'SSA7'!B:B,0)),"-")</f>
        <v>-</v>
      </c>
    </row>
    <row r="22" spans="1:10" ht="22.2" customHeight="1" x14ac:dyDescent="0.55000000000000004">
      <c r="A22" s="15">
        <v>20</v>
      </c>
      <c r="B22" s="36" t="s">
        <v>418</v>
      </c>
      <c r="C22" s="37" t="s">
        <v>177</v>
      </c>
      <c r="D22" s="37" t="s">
        <v>576</v>
      </c>
      <c r="E22" s="25" t="str">
        <f>IFERROR(INDEX('SSA1'!E:E,MATCH(Total!B22,'SSA1'!B:B,0)),"-")</f>
        <v>-</v>
      </c>
      <c r="F22" s="25" t="str">
        <f>IFERROR(INDEX('SSA2'!E:E,MATCH(Total!B22,'SSA2'!B:B,0)),"-")</f>
        <v>-</v>
      </c>
      <c r="G22" s="15" t="str">
        <f>IFERROR(INDEX('SSA3'!E:E,MATCH(Total!B22,'SSA3'!B:B,0)),"-")</f>
        <v>-</v>
      </c>
      <c r="H22" s="15" t="str">
        <f>IFERROR(INDEX('SSA5'!E:E,MATCH(Total!B22,'SSA5'!B:B,0)),"-")</f>
        <v>-</v>
      </c>
      <c r="I22" s="15" t="str">
        <f>IFERROR(INDEX('SSA6'!E:E,MATCH(Total!B22,'SSA6'!B:B,0)),"-")</f>
        <v>-</v>
      </c>
      <c r="J22" s="15" t="str">
        <f>IFERROR(INDEX('SSA7'!E:E,MATCH(Total!B22,'SSA7'!B:B,0)),"-")</f>
        <v>-</v>
      </c>
    </row>
    <row r="23" spans="1:10" ht="22.2" customHeight="1" x14ac:dyDescent="0.55000000000000004">
      <c r="A23" s="15">
        <v>21</v>
      </c>
      <c r="B23" s="36" t="s">
        <v>419</v>
      </c>
      <c r="C23" s="37" t="s">
        <v>178</v>
      </c>
      <c r="D23" s="37" t="s">
        <v>4</v>
      </c>
      <c r="E23" s="25" t="str">
        <f>IFERROR(INDEX('SSA1'!E:E,MATCH(Total!B23,'SSA1'!B:B,0)),"-")</f>
        <v>-</v>
      </c>
      <c r="F23" s="25" t="str">
        <f>IFERROR(INDEX('SSA2'!E:E,MATCH(Total!B23,'SSA2'!B:B,0)),"-")</f>
        <v>-</v>
      </c>
      <c r="G23" s="15" t="str">
        <f>IFERROR(INDEX('SSA3'!E:E,MATCH(Total!B23,'SSA3'!B:B,0)),"-")</f>
        <v>-</v>
      </c>
      <c r="H23" s="15" t="str">
        <f>IFERROR(INDEX('SSA5'!E:E,MATCH(Total!B23,'SSA5'!B:B,0)),"-")</f>
        <v>-</v>
      </c>
      <c r="I23" s="15" t="str">
        <f>IFERROR(INDEX('SSA6'!E:E,MATCH(Total!B23,'SSA6'!B:B,0)),"-")</f>
        <v>-</v>
      </c>
      <c r="J23" s="15" t="str">
        <f>IFERROR(INDEX('SSA7'!E:E,MATCH(Total!B23,'SSA7'!B:B,0)),"-")</f>
        <v>-</v>
      </c>
    </row>
    <row r="24" spans="1:10" ht="22.2" customHeight="1" x14ac:dyDescent="0.55000000000000004">
      <c r="A24" s="15">
        <v>22</v>
      </c>
      <c r="B24" s="36" t="s">
        <v>420</v>
      </c>
      <c r="C24" s="37" t="s">
        <v>179</v>
      </c>
      <c r="D24" s="37" t="s">
        <v>576</v>
      </c>
      <c r="E24" s="25" t="str">
        <f>IFERROR(INDEX('SSA1'!E:E,MATCH(Total!B24,'SSA1'!B:B,0)),"-")</f>
        <v>-</v>
      </c>
      <c r="F24" s="25" t="str">
        <f>IFERROR(INDEX('SSA2'!E:E,MATCH(Total!B24,'SSA2'!B:B,0)),"-")</f>
        <v>-</v>
      </c>
      <c r="G24" s="15" t="str">
        <f>IFERROR(INDEX('SSA3'!E:E,MATCH(Total!B24,'SSA3'!B:B,0)),"-")</f>
        <v>-</v>
      </c>
      <c r="H24" s="15" t="str">
        <f>IFERROR(INDEX('SSA5'!E:E,MATCH(Total!B24,'SSA5'!B:B,0)),"-")</f>
        <v>-</v>
      </c>
      <c r="I24" s="15" t="str">
        <f>IFERROR(INDEX('SSA6'!E:E,MATCH(Total!B24,'SSA6'!B:B,0)),"-")</f>
        <v>-</v>
      </c>
      <c r="J24" s="15" t="str">
        <f>IFERROR(INDEX('SSA7'!E:E,MATCH(Total!B24,'SSA7'!B:B,0)),"-")</f>
        <v>-</v>
      </c>
    </row>
    <row r="25" spans="1:10" ht="22.2" customHeight="1" x14ac:dyDescent="0.55000000000000004">
      <c r="A25" s="15">
        <v>23</v>
      </c>
      <c r="B25" s="36" t="s">
        <v>421</v>
      </c>
      <c r="C25" s="37" t="s">
        <v>180</v>
      </c>
      <c r="D25" s="37" t="s">
        <v>576</v>
      </c>
      <c r="E25" s="25" t="str">
        <f>IFERROR(INDEX('SSA1'!E:E,MATCH(Total!B25,'SSA1'!B:B,0)),"-")</f>
        <v>-</v>
      </c>
      <c r="F25" s="25" t="str">
        <f>IFERROR(INDEX('SSA2'!E:E,MATCH(Total!B25,'SSA2'!B:B,0)),"-")</f>
        <v>-</v>
      </c>
      <c r="G25" s="15" t="str">
        <f>IFERROR(INDEX('SSA3'!E:E,MATCH(Total!B25,'SSA3'!B:B,0)),"-")</f>
        <v>-</v>
      </c>
      <c r="H25" s="15" t="str">
        <f>IFERROR(INDEX('SSA5'!E:E,MATCH(Total!B25,'SSA5'!B:B,0)),"-")</f>
        <v>-</v>
      </c>
      <c r="I25" s="15" t="str">
        <f>IFERROR(INDEX('SSA6'!E:E,MATCH(Total!B25,'SSA6'!B:B,0)),"-")</f>
        <v>-</v>
      </c>
      <c r="J25" s="15" t="str">
        <f>IFERROR(INDEX('SSA7'!E:E,MATCH(Total!B25,'SSA7'!B:B,0)),"-")</f>
        <v>-</v>
      </c>
    </row>
    <row r="26" spans="1:10" ht="22.2" customHeight="1" x14ac:dyDescent="0.55000000000000004">
      <c r="A26" s="15">
        <v>24</v>
      </c>
      <c r="B26" s="36" t="s">
        <v>422</v>
      </c>
      <c r="C26" s="37" t="s">
        <v>181</v>
      </c>
      <c r="D26" s="37" t="s">
        <v>25</v>
      </c>
      <c r="E26" s="25" t="str">
        <f>IFERROR(INDEX('SSA1'!E:E,MATCH(Total!B26,'SSA1'!B:B,0)),"-")</f>
        <v>-</v>
      </c>
      <c r="F26" s="25" t="str">
        <f>IFERROR(INDEX('SSA2'!E:E,MATCH(Total!B26,'SSA2'!B:B,0)),"-")</f>
        <v>-</v>
      </c>
      <c r="G26" s="15" t="str">
        <f>IFERROR(INDEX('SSA3'!E:E,MATCH(Total!B26,'SSA3'!B:B,0)),"-")</f>
        <v>-</v>
      </c>
      <c r="H26" s="15" t="str">
        <f>IFERROR(INDEX('SSA5'!E:E,MATCH(Total!B26,'SSA5'!B:B,0)),"-")</f>
        <v>-</v>
      </c>
      <c r="I26" s="15" t="str">
        <f>IFERROR(INDEX('SSA6'!E:E,MATCH(Total!B26,'SSA6'!B:B,0)),"-")</f>
        <v>-</v>
      </c>
      <c r="J26" s="15" t="str">
        <f>IFERROR(INDEX('SSA7'!E:E,MATCH(Total!B26,'SSA7'!B:B,0)),"-")</f>
        <v>-</v>
      </c>
    </row>
    <row r="27" spans="1:10" ht="22.2" customHeight="1" x14ac:dyDescent="0.55000000000000004">
      <c r="A27" s="15">
        <v>25</v>
      </c>
      <c r="B27" s="36" t="s">
        <v>423</v>
      </c>
      <c r="C27" s="37" t="s">
        <v>182</v>
      </c>
      <c r="D27" s="37" t="s">
        <v>4</v>
      </c>
      <c r="E27" s="25" t="str">
        <f>IFERROR(INDEX('SSA1'!E:E,MATCH(Total!B27,'SSA1'!B:B,0)),"-")</f>
        <v>-</v>
      </c>
      <c r="F27" s="25" t="str">
        <f>IFERROR(INDEX('SSA2'!E:E,MATCH(Total!B27,'SSA2'!B:B,0)),"-")</f>
        <v>-</v>
      </c>
      <c r="G27" s="15" t="str">
        <f>IFERROR(INDEX('SSA3'!E:E,MATCH(Total!B27,'SSA3'!B:B,0)),"-")</f>
        <v>-</v>
      </c>
      <c r="H27" s="15" t="str">
        <f>IFERROR(INDEX('SSA5'!E:E,MATCH(Total!B27,'SSA5'!B:B,0)),"-")</f>
        <v>-</v>
      </c>
      <c r="I27" s="15" t="str">
        <f>IFERROR(INDEX('SSA6'!E:E,MATCH(Total!B27,'SSA6'!B:B,0)),"-")</f>
        <v>-</v>
      </c>
      <c r="J27" s="15" t="str">
        <f>IFERROR(INDEX('SSA7'!E:E,MATCH(Total!B27,'SSA7'!B:B,0)),"-")</f>
        <v>-</v>
      </c>
    </row>
    <row r="28" spans="1:10" ht="22.2" customHeight="1" x14ac:dyDescent="0.55000000000000004">
      <c r="A28" s="15">
        <v>26</v>
      </c>
      <c r="B28" s="36" t="s">
        <v>424</v>
      </c>
      <c r="C28" s="37" t="s">
        <v>183</v>
      </c>
      <c r="D28" s="37" t="s">
        <v>576</v>
      </c>
      <c r="E28" s="25" t="str">
        <f>IFERROR(INDEX('SSA1'!E:E,MATCH(Total!B28,'SSA1'!B:B,0)),"-")</f>
        <v>-</v>
      </c>
      <c r="F28" s="25" t="str">
        <f>IFERROR(INDEX('SSA2'!E:E,MATCH(Total!B28,'SSA2'!B:B,0)),"-")</f>
        <v>-</v>
      </c>
      <c r="G28" s="15" t="str">
        <f>IFERROR(INDEX('SSA3'!E:E,MATCH(Total!B28,'SSA3'!B:B,0)),"-")</f>
        <v>-</v>
      </c>
      <c r="H28" s="15" t="str">
        <f>IFERROR(INDEX('SSA5'!E:E,MATCH(Total!B28,'SSA5'!B:B,0)),"-")</f>
        <v>-</v>
      </c>
      <c r="I28" s="15" t="str">
        <f>IFERROR(INDEX('SSA6'!E:E,MATCH(Total!B28,'SSA6'!B:B,0)),"-")</f>
        <v>-</v>
      </c>
      <c r="J28" s="15" t="str">
        <f>IFERROR(INDEX('SSA7'!E:E,MATCH(Total!B28,'SSA7'!B:B,0)),"-")</f>
        <v>-</v>
      </c>
    </row>
    <row r="29" spans="1:10" ht="22.2" customHeight="1" x14ac:dyDescent="0.55000000000000004">
      <c r="A29" s="15">
        <v>27</v>
      </c>
      <c r="B29" s="36" t="s">
        <v>425</v>
      </c>
      <c r="C29" s="37" t="s">
        <v>184</v>
      </c>
      <c r="D29" s="37" t="s">
        <v>22</v>
      </c>
      <c r="E29" s="25" t="str">
        <f>IFERROR(INDEX('SSA1'!E:E,MATCH(Total!B29,'SSA1'!B:B,0)),"-")</f>
        <v>-</v>
      </c>
      <c r="F29" s="25" t="str">
        <f>IFERROR(INDEX('SSA2'!E:E,MATCH(Total!B29,'SSA2'!B:B,0)),"-")</f>
        <v>-</v>
      </c>
      <c r="G29" s="15" t="str">
        <f>IFERROR(INDEX('SSA3'!E:E,MATCH(Total!B29,'SSA3'!B:B,0)),"-")</f>
        <v>-</v>
      </c>
      <c r="H29" s="15" t="str">
        <f>IFERROR(INDEX('SSA5'!E:E,MATCH(Total!B29,'SSA5'!B:B,0)),"-")</f>
        <v>-</v>
      </c>
      <c r="I29" s="15" t="str">
        <f>IFERROR(INDEX('SSA6'!E:E,MATCH(Total!B29,'SSA6'!B:B,0)),"-")</f>
        <v>-</v>
      </c>
      <c r="J29" s="15" t="str">
        <f>IFERROR(INDEX('SSA7'!E:E,MATCH(Total!B29,'SSA7'!B:B,0)),"-")</f>
        <v>-</v>
      </c>
    </row>
    <row r="30" spans="1:10" ht="22.2" customHeight="1" x14ac:dyDescent="0.55000000000000004">
      <c r="A30" s="15">
        <v>28</v>
      </c>
      <c r="B30" s="36" t="s">
        <v>426</v>
      </c>
      <c r="C30" s="37" t="s">
        <v>185</v>
      </c>
      <c r="D30" s="37" t="s">
        <v>25</v>
      </c>
      <c r="E30" s="25" t="str">
        <f>IFERROR(INDEX('SSA1'!E:E,MATCH(Total!B30,'SSA1'!B:B,0)),"-")</f>
        <v>-</v>
      </c>
      <c r="F30" s="25" t="str">
        <f>IFERROR(INDEX('SSA2'!E:E,MATCH(Total!B30,'SSA2'!B:B,0)),"-")</f>
        <v>-</v>
      </c>
      <c r="G30" s="15" t="str">
        <f>IFERROR(INDEX('SSA3'!E:E,MATCH(Total!B30,'SSA3'!B:B,0)),"-")</f>
        <v>-</v>
      </c>
      <c r="H30" s="15" t="str">
        <f>IFERROR(INDEX('SSA5'!E:E,MATCH(Total!B30,'SSA5'!B:B,0)),"-")</f>
        <v>-</v>
      </c>
      <c r="I30" s="15" t="str">
        <f>IFERROR(INDEX('SSA6'!E:E,MATCH(Total!B30,'SSA6'!B:B,0)),"-")</f>
        <v>-</v>
      </c>
      <c r="J30" s="15" t="str">
        <f>IFERROR(INDEX('SSA7'!E:E,MATCH(Total!B30,'SSA7'!B:B,0)),"-")</f>
        <v>-</v>
      </c>
    </row>
    <row r="31" spans="1:10" ht="22.2" customHeight="1" x14ac:dyDescent="0.55000000000000004">
      <c r="A31" s="15">
        <v>29</v>
      </c>
      <c r="B31" s="36" t="s">
        <v>427</v>
      </c>
      <c r="C31" s="37" t="s">
        <v>186</v>
      </c>
      <c r="D31" s="37" t="s">
        <v>576</v>
      </c>
      <c r="E31" s="25" t="str">
        <f>IFERROR(INDEX('SSA1'!E:E,MATCH(Total!B31,'SSA1'!B:B,0)),"-")</f>
        <v>-</v>
      </c>
      <c r="F31" s="25" t="str">
        <f>IFERROR(INDEX('SSA2'!E:E,MATCH(Total!B31,'SSA2'!B:B,0)),"-")</f>
        <v>-</v>
      </c>
      <c r="G31" s="15" t="str">
        <f>IFERROR(INDEX('SSA3'!E:E,MATCH(Total!B31,'SSA3'!B:B,0)),"-")</f>
        <v>-</v>
      </c>
      <c r="H31" s="15" t="str">
        <f>IFERROR(INDEX('SSA5'!E:E,MATCH(Total!B31,'SSA5'!B:B,0)),"-")</f>
        <v>-</v>
      </c>
      <c r="I31" s="15" t="str">
        <f>IFERROR(INDEX('SSA6'!E:E,MATCH(Total!B31,'SSA6'!B:B,0)),"-")</f>
        <v>-</v>
      </c>
      <c r="J31" s="15" t="str">
        <f>IFERROR(INDEX('SSA7'!E:E,MATCH(Total!B31,'SSA7'!B:B,0)),"-")</f>
        <v>-</v>
      </c>
    </row>
    <row r="32" spans="1:10" ht="22.2" customHeight="1" x14ac:dyDescent="0.55000000000000004">
      <c r="A32" s="15">
        <v>30</v>
      </c>
      <c r="B32" s="36" t="s">
        <v>428</v>
      </c>
      <c r="C32" s="37" t="s">
        <v>187</v>
      </c>
      <c r="D32" s="37" t="s">
        <v>576</v>
      </c>
      <c r="E32" s="25" t="str">
        <f>IFERROR(INDEX('SSA1'!E:E,MATCH(Total!B32,'SSA1'!B:B,0)),"-")</f>
        <v>-</v>
      </c>
      <c r="F32" s="25" t="str">
        <f>IFERROR(INDEX('SSA2'!E:E,MATCH(Total!B32,'SSA2'!B:B,0)),"-")</f>
        <v>-</v>
      </c>
      <c r="G32" s="15" t="str">
        <f>IFERROR(INDEX('SSA3'!E:E,MATCH(Total!B32,'SSA3'!B:B,0)),"-")</f>
        <v>-</v>
      </c>
      <c r="H32" s="15" t="str">
        <f>IFERROR(INDEX('SSA5'!E:E,MATCH(Total!B32,'SSA5'!B:B,0)),"-")</f>
        <v>-</v>
      </c>
      <c r="I32" s="15" t="str">
        <f>IFERROR(INDEX('SSA6'!E:E,MATCH(Total!B32,'SSA6'!B:B,0)),"-")</f>
        <v>-</v>
      </c>
      <c r="J32" s="15" t="str">
        <f>IFERROR(INDEX('SSA7'!E:E,MATCH(Total!B32,'SSA7'!B:B,0)),"-")</f>
        <v>-</v>
      </c>
    </row>
    <row r="33" spans="1:10" ht="22.2" customHeight="1" x14ac:dyDescent="0.55000000000000004">
      <c r="A33" s="15">
        <v>31</v>
      </c>
      <c r="B33" s="36" t="s">
        <v>429</v>
      </c>
      <c r="C33" s="37" t="s">
        <v>188</v>
      </c>
      <c r="D33" s="37" t="s">
        <v>576</v>
      </c>
      <c r="E33" s="25" t="str">
        <f>IFERROR(INDEX('SSA1'!E:E,MATCH(Total!B33,'SSA1'!B:B,0)),"-")</f>
        <v>-</v>
      </c>
      <c r="F33" s="25" t="str">
        <f>IFERROR(INDEX('SSA2'!E:E,MATCH(Total!B33,'SSA2'!B:B,0)),"-")</f>
        <v>-</v>
      </c>
      <c r="G33" s="15" t="str">
        <f>IFERROR(INDEX('SSA3'!E:E,MATCH(Total!B33,'SSA3'!B:B,0)),"-")</f>
        <v>-</v>
      </c>
      <c r="H33" s="15" t="str">
        <f>IFERROR(INDEX('SSA5'!E:E,MATCH(Total!B33,'SSA5'!B:B,0)),"-")</f>
        <v>-</v>
      </c>
      <c r="I33" s="15" t="str">
        <f>IFERROR(INDEX('SSA6'!E:E,MATCH(Total!B33,'SSA6'!B:B,0)),"-")</f>
        <v>-</v>
      </c>
      <c r="J33" s="15" t="str">
        <f>IFERROR(INDEX('SSA7'!E:E,MATCH(Total!B33,'SSA7'!B:B,0)),"-")</f>
        <v>-</v>
      </c>
    </row>
    <row r="34" spans="1:10" ht="22.2" customHeight="1" x14ac:dyDescent="0.55000000000000004">
      <c r="A34" s="15">
        <v>32</v>
      </c>
      <c r="B34" s="36" t="s">
        <v>430</v>
      </c>
      <c r="C34" s="37" t="s">
        <v>189</v>
      </c>
      <c r="D34" s="37" t="s">
        <v>4</v>
      </c>
      <c r="E34" s="25" t="str">
        <f>IFERROR(INDEX('SSA1'!E:E,MATCH(Total!B34,'SSA1'!B:B,0)),"-")</f>
        <v>-</v>
      </c>
      <c r="F34" s="25" t="str">
        <f>IFERROR(INDEX('SSA2'!E:E,MATCH(Total!B34,'SSA2'!B:B,0)),"-")</f>
        <v>-</v>
      </c>
      <c r="G34" s="15" t="str">
        <f>IFERROR(INDEX('SSA3'!E:E,MATCH(Total!B34,'SSA3'!B:B,0)),"-")</f>
        <v>-</v>
      </c>
      <c r="H34" s="15" t="str">
        <f>IFERROR(INDEX('SSA5'!E:E,MATCH(Total!B34,'SSA5'!B:B,0)),"-")</f>
        <v>-</v>
      </c>
      <c r="I34" s="15" t="str">
        <f>IFERROR(INDEX('SSA6'!E:E,MATCH(Total!B34,'SSA6'!B:B,0)),"-")</f>
        <v>-</v>
      </c>
      <c r="J34" s="15" t="str">
        <f>IFERROR(INDEX('SSA7'!E:E,MATCH(Total!B34,'SSA7'!B:B,0)),"-")</f>
        <v>-</v>
      </c>
    </row>
    <row r="35" spans="1:10" ht="22.2" customHeight="1" x14ac:dyDescent="0.55000000000000004">
      <c r="A35" s="15">
        <v>33</v>
      </c>
      <c r="B35" s="36" t="s">
        <v>431</v>
      </c>
      <c r="C35" s="37" t="s">
        <v>190</v>
      </c>
      <c r="D35" s="37" t="s">
        <v>574</v>
      </c>
      <c r="E35" s="25" t="str">
        <f>IFERROR(INDEX('SSA1'!E:E,MATCH(Total!B35,'SSA1'!B:B,0)),"-")</f>
        <v>-</v>
      </c>
      <c r="F35" s="25" t="str">
        <f>IFERROR(INDEX('SSA2'!E:E,MATCH(Total!B35,'SSA2'!B:B,0)),"-")</f>
        <v>-</v>
      </c>
      <c r="G35" s="15" t="str">
        <f>IFERROR(INDEX('SSA3'!E:E,MATCH(Total!B35,'SSA3'!B:B,0)),"-")</f>
        <v>-</v>
      </c>
      <c r="H35" s="15" t="str">
        <f>IFERROR(INDEX('SSA5'!E:E,MATCH(Total!B35,'SSA5'!B:B,0)),"-")</f>
        <v>-</v>
      </c>
      <c r="I35" s="15" t="str">
        <f>IFERROR(INDEX('SSA6'!E:E,MATCH(Total!B35,'SSA6'!B:B,0)),"-")</f>
        <v>-</v>
      </c>
      <c r="J35" s="15" t="str">
        <f>IFERROR(INDEX('SSA7'!E:E,MATCH(Total!B35,'SSA7'!B:B,0)),"-")</f>
        <v>-</v>
      </c>
    </row>
    <row r="36" spans="1:10" ht="22.2" customHeight="1" x14ac:dyDescent="0.55000000000000004">
      <c r="A36" s="15">
        <v>34</v>
      </c>
      <c r="B36" s="36" t="s">
        <v>154</v>
      </c>
      <c r="C36" s="37" t="s">
        <v>191</v>
      </c>
      <c r="D36" s="37" t="s">
        <v>25</v>
      </c>
      <c r="E36" s="25">
        <f>IFERROR(INDEX('SSA1'!E:E,MATCH(Total!B36,'SSA1'!B:B,0)),"-")</f>
        <v>10</v>
      </c>
      <c r="F36" s="25" t="str">
        <f>IFERROR(INDEX('SSA2'!E:E,MATCH(Total!B36,'SSA2'!B:B,0)),"-")</f>
        <v>-</v>
      </c>
      <c r="G36" s="15">
        <f>IFERROR(INDEX('SSA3'!E:E,MATCH(Total!B36,'SSA3'!B:B,0)),"-")</f>
        <v>12</v>
      </c>
      <c r="H36" s="15">
        <f>IFERROR(INDEX('SSA5'!E:E,MATCH(Total!B36,'SSA5'!B:B,0)),"-")</f>
        <v>8</v>
      </c>
      <c r="I36" s="15" t="str">
        <f>IFERROR(INDEX('SSA6'!E:E,MATCH(Total!B36,'SSA6'!B:B,0)),"-")</f>
        <v>-</v>
      </c>
      <c r="J36" s="15" t="str">
        <f>IFERROR(INDEX('SSA7'!E:E,MATCH(Total!B36,'SSA7'!B:B,0)),"-")</f>
        <v>-</v>
      </c>
    </row>
    <row r="37" spans="1:10" ht="22.2" customHeight="1" x14ac:dyDescent="0.55000000000000004">
      <c r="A37" s="15">
        <v>35</v>
      </c>
      <c r="B37" s="36" t="s">
        <v>432</v>
      </c>
      <c r="C37" s="37" t="s">
        <v>191</v>
      </c>
      <c r="D37" s="37" t="s">
        <v>25</v>
      </c>
      <c r="E37" s="25" t="str">
        <f>IFERROR(INDEX('SSA1'!E:E,MATCH(Total!B37,'SSA1'!B:B,0)),"-")</f>
        <v>-</v>
      </c>
      <c r="F37" s="25" t="str">
        <f>IFERROR(INDEX('SSA2'!E:E,MATCH(Total!B37,'SSA2'!B:B,0)),"-")</f>
        <v>-</v>
      </c>
      <c r="G37" s="15" t="str">
        <f>IFERROR(INDEX('SSA3'!E:E,MATCH(Total!B37,'SSA3'!B:B,0)),"-")</f>
        <v>-</v>
      </c>
      <c r="H37" s="15" t="str">
        <f>IFERROR(INDEX('SSA5'!E:E,MATCH(Total!B37,'SSA5'!B:B,0)),"-")</f>
        <v>-</v>
      </c>
      <c r="I37" s="15" t="str">
        <f>IFERROR(INDEX('SSA6'!E:E,MATCH(Total!B37,'SSA6'!B:B,0)),"-")</f>
        <v>-</v>
      </c>
      <c r="J37" s="15" t="str">
        <f>IFERROR(INDEX('SSA7'!E:E,MATCH(Total!B37,'SSA7'!B:B,0)),"-")</f>
        <v>-</v>
      </c>
    </row>
    <row r="38" spans="1:10" ht="22.2" customHeight="1" x14ac:dyDescent="0.55000000000000004">
      <c r="A38" s="15">
        <v>36</v>
      </c>
      <c r="B38" s="36" t="s">
        <v>433</v>
      </c>
      <c r="C38" s="37" t="s">
        <v>192</v>
      </c>
      <c r="D38" s="37" t="s">
        <v>25</v>
      </c>
      <c r="E38" s="25" t="str">
        <f>IFERROR(INDEX('SSA1'!E:E,MATCH(Total!B38,'SSA1'!B:B,0)),"-")</f>
        <v>-</v>
      </c>
      <c r="F38" s="25" t="str">
        <f>IFERROR(INDEX('SSA2'!E:E,MATCH(Total!B38,'SSA2'!B:B,0)),"-")</f>
        <v>-</v>
      </c>
      <c r="G38" s="15" t="str">
        <f>IFERROR(INDEX('SSA3'!E:E,MATCH(Total!B38,'SSA3'!B:B,0)),"-")</f>
        <v>-</v>
      </c>
      <c r="H38" s="15" t="str">
        <f>IFERROR(INDEX('SSA5'!E:E,MATCH(Total!B38,'SSA5'!B:B,0)),"-")</f>
        <v>-</v>
      </c>
      <c r="I38" s="15" t="str">
        <f>IFERROR(INDEX('SSA6'!E:E,MATCH(Total!B38,'SSA6'!B:B,0)),"-")</f>
        <v>-</v>
      </c>
      <c r="J38" s="15" t="str">
        <f>IFERROR(INDEX('SSA7'!E:E,MATCH(Total!B38,'SSA7'!B:B,0)),"-")</f>
        <v>-</v>
      </c>
    </row>
    <row r="39" spans="1:10" ht="22.2" customHeight="1" x14ac:dyDescent="0.55000000000000004">
      <c r="A39" s="15">
        <v>37</v>
      </c>
      <c r="B39" s="36" t="s">
        <v>434</v>
      </c>
      <c r="C39" s="37" t="s">
        <v>193</v>
      </c>
      <c r="D39" s="37" t="s">
        <v>25</v>
      </c>
      <c r="E39" s="25" t="str">
        <f>IFERROR(INDEX('SSA1'!E:E,MATCH(Total!B39,'SSA1'!B:B,0)),"-")</f>
        <v>-</v>
      </c>
      <c r="F39" s="25" t="str">
        <f>IFERROR(INDEX('SSA2'!E:E,MATCH(Total!B39,'SSA2'!B:B,0)),"-")</f>
        <v>-</v>
      </c>
      <c r="G39" s="15" t="str">
        <f>IFERROR(INDEX('SSA3'!E:E,MATCH(Total!B39,'SSA3'!B:B,0)),"-")</f>
        <v>-</v>
      </c>
      <c r="H39" s="15" t="str">
        <f>IFERROR(INDEX('SSA5'!E:E,MATCH(Total!B39,'SSA5'!B:B,0)),"-")</f>
        <v>-</v>
      </c>
      <c r="I39" s="15" t="str">
        <f>IFERROR(INDEX('SSA6'!E:E,MATCH(Total!B39,'SSA6'!B:B,0)),"-")</f>
        <v>-</v>
      </c>
      <c r="J39" s="15" t="str">
        <f>IFERROR(INDEX('SSA7'!E:E,MATCH(Total!B39,'SSA7'!B:B,0)),"-")</f>
        <v>-</v>
      </c>
    </row>
    <row r="40" spans="1:10" ht="22.2" customHeight="1" x14ac:dyDescent="0.55000000000000004">
      <c r="A40" s="15">
        <v>38</v>
      </c>
      <c r="B40" s="36" t="s">
        <v>435</v>
      </c>
      <c r="C40" s="37" t="s">
        <v>194</v>
      </c>
      <c r="D40" s="37" t="s">
        <v>111</v>
      </c>
      <c r="E40" s="25" t="str">
        <f>IFERROR(INDEX('SSA1'!E:E,MATCH(Total!B40,'SSA1'!B:B,0)),"-")</f>
        <v>-</v>
      </c>
      <c r="F40" s="25" t="str">
        <f>IFERROR(INDEX('SSA2'!E:E,MATCH(Total!B40,'SSA2'!B:B,0)),"-")</f>
        <v>-</v>
      </c>
      <c r="G40" s="15" t="str">
        <f>IFERROR(INDEX('SSA3'!E:E,MATCH(Total!B40,'SSA3'!B:B,0)),"-")</f>
        <v>-</v>
      </c>
      <c r="H40" s="15" t="str">
        <f>IFERROR(INDEX('SSA5'!E:E,MATCH(Total!B40,'SSA5'!B:B,0)),"-")</f>
        <v>-</v>
      </c>
      <c r="I40" s="15" t="str">
        <f>IFERROR(INDEX('SSA6'!E:E,MATCH(Total!B40,'SSA6'!B:B,0)),"-")</f>
        <v>-</v>
      </c>
      <c r="J40" s="15" t="str">
        <f>IFERROR(INDEX('SSA7'!E:E,MATCH(Total!B40,'SSA7'!B:B,0)),"-")</f>
        <v>-</v>
      </c>
    </row>
    <row r="41" spans="1:10" ht="22.2" customHeight="1" x14ac:dyDescent="0.55000000000000004">
      <c r="A41" s="15">
        <v>39</v>
      </c>
      <c r="B41" s="36" t="s">
        <v>436</v>
      </c>
      <c r="C41" s="37" t="s">
        <v>195</v>
      </c>
      <c r="D41" s="37" t="s">
        <v>19</v>
      </c>
      <c r="E41" s="25" t="str">
        <f>IFERROR(INDEX('SSA1'!E:E,MATCH(Total!B41,'SSA1'!B:B,0)),"-")</f>
        <v>-</v>
      </c>
      <c r="F41" s="25" t="str">
        <f>IFERROR(INDEX('SSA2'!E:E,MATCH(Total!B41,'SSA2'!B:B,0)),"-")</f>
        <v>-</v>
      </c>
      <c r="G41" s="15" t="str">
        <f>IFERROR(INDEX('SSA3'!E:E,MATCH(Total!B41,'SSA3'!B:B,0)),"-")</f>
        <v>-</v>
      </c>
      <c r="H41" s="15" t="str">
        <f>IFERROR(INDEX('SSA5'!E:E,MATCH(Total!B41,'SSA5'!B:B,0)),"-")</f>
        <v>-</v>
      </c>
      <c r="I41" s="15" t="str">
        <f>IFERROR(INDEX('SSA6'!E:E,MATCH(Total!B41,'SSA6'!B:B,0)),"-")</f>
        <v>-</v>
      </c>
      <c r="J41" s="15" t="str">
        <f>IFERROR(INDEX('SSA7'!E:E,MATCH(Total!B41,'SSA7'!B:B,0)),"-")</f>
        <v>-</v>
      </c>
    </row>
    <row r="42" spans="1:10" ht="22.2" customHeight="1" x14ac:dyDescent="0.55000000000000004">
      <c r="A42" s="15">
        <v>40</v>
      </c>
      <c r="B42" s="36" t="s">
        <v>437</v>
      </c>
      <c r="C42" s="37" t="s">
        <v>196</v>
      </c>
      <c r="D42" s="37" t="s">
        <v>25</v>
      </c>
      <c r="E42" s="25" t="str">
        <f>IFERROR(INDEX('SSA1'!E:E,MATCH(Total!B42,'SSA1'!B:B,0)),"-")</f>
        <v>-</v>
      </c>
      <c r="F42" s="25" t="str">
        <f>IFERROR(INDEX('SSA2'!E:E,MATCH(Total!B42,'SSA2'!B:B,0)),"-")</f>
        <v>-</v>
      </c>
      <c r="G42" s="15" t="str">
        <f>IFERROR(INDEX('SSA3'!E:E,MATCH(Total!B42,'SSA3'!B:B,0)),"-")</f>
        <v>-</v>
      </c>
      <c r="H42" s="15" t="str">
        <f>IFERROR(INDEX('SSA5'!E:E,MATCH(Total!B42,'SSA5'!B:B,0)),"-")</f>
        <v>-</v>
      </c>
      <c r="I42" s="15" t="str">
        <f>IFERROR(INDEX('SSA6'!E:E,MATCH(Total!B42,'SSA6'!B:B,0)),"-")</f>
        <v>-</v>
      </c>
      <c r="J42" s="15" t="str">
        <f>IFERROR(INDEX('SSA7'!E:E,MATCH(Total!B42,'SSA7'!B:B,0)),"-")</f>
        <v>-</v>
      </c>
    </row>
    <row r="43" spans="1:10" ht="22.2" customHeight="1" x14ac:dyDescent="0.55000000000000004">
      <c r="A43" s="15">
        <v>41</v>
      </c>
      <c r="B43" s="36" t="s">
        <v>438</v>
      </c>
      <c r="C43" s="37" t="s">
        <v>197</v>
      </c>
      <c r="D43" s="37" t="s">
        <v>25</v>
      </c>
      <c r="E43" s="25" t="str">
        <f>IFERROR(INDEX('SSA1'!E:E,MATCH(Total!B43,'SSA1'!B:B,0)),"-")</f>
        <v>-</v>
      </c>
      <c r="F43" s="25" t="str">
        <f>IFERROR(INDEX('SSA2'!E:E,MATCH(Total!B43,'SSA2'!B:B,0)),"-")</f>
        <v>-</v>
      </c>
      <c r="G43" s="15" t="str">
        <f>IFERROR(INDEX('SSA3'!E:E,MATCH(Total!B43,'SSA3'!B:B,0)),"-")</f>
        <v>-</v>
      </c>
      <c r="H43" s="15" t="str">
        <f>IFERROR(INDEX('SSA5'!E:E,MATCH(Total!B43,'SSA5'!B:B,0)),"-")</f>
        <v>-</v>
      </c>
      <c r="I43" s="15" t="str">
        <f>IFERROR(INDEX('SSA6'!E:E,MATCH(Total!B43,'SSA6'!B:B,0)),"-")</f>
        <v>-</v>
      </c>
      <c r="J43" s="15" t="str">
        <f>IFERROR(INDEX('SSA7'!E:E,MATCH(Total!B43,'SSA7'!B:B,0)),"-")</f>
        <v>-</v>
      </c>
    </row>
    <row r="44" spans="1:10" ht="22.2" customHeight="1" x14ac:dyDescent="0.55000000000000004">
      <c r="A44" s="15">
        <v>42</v>
      </c>
      <c r="B44" s="36" t="s">
        <v>439</v>
      </c>
      <c r="C44" s="37" t="s">
        <v>198</v>
      </c>
      <c r="D44" s="37" t="s">
        <v>19</v>
      </c>
      <c r="E44" s="25" t="str">
        <f>IFERROR(INDEX('SSA1'!E:E,MATCH(Total!B44,'SSA1'!B:B,0)),"-")</f>
        <v>-</v>
      </c>
      <c r="F44" s="25" t="str">
        <f>IFERROR(INDEX('SSA2'!E:E,MATCH(Total!B44,'SSA2'!B:B,0)),"-")</f>
        <v>-</v>
      </c>
      <c r="G44" s="15" t="str">
        <f>IFERROR(INDEX('SSA3'!E:E,MATCH(Total!B44,'SSA3'!B:B,0)),"-")</f>
        <v>-</v>
      </c>
      <c r="H44" s="15" t="str">
        <f>IFERROR(INDEX('SSA5'!E:E,MATCH(Total!B44,'SSA5'!B:B,0)),"-")</f>
        <v>-</v>
      </c>
      <c r="I44" s="15" t="str">
        <f>IFERROR(INDEX('SSA6'!E:E,MATCH(Total!B44,'SSA6'!B:B,0)),"-")</f>
        <v>-</v>
      </c>
      <c r="J44" s="15" t="str">
        <f>IFERROR(INDEX('SSA7'!E:E,MATCH(Total!B44,'SSA7'!B:B,0)),"-")</f>
        <v>-</v>
      </c>
    </row>
    <row r="45" spans="1:10" ht="22.2" customHeight="1" x14ac:dyDescent="0.55000000000000004">
      <c r="A45" s="15">
        <v>43</v>
      </c>
      <c r="B45" s="36" t="s">
        <v>440</v>
      </c>
      <c r="C45" s="37" t="s">
        <v>199</v>
      </c>
      <c r="D45" s="37" t="s">
        <v>19</v>
      </c>
      <c r="E45" s="25" t="str">
        <f>IFERROR(INDEX('SSA1'!E:E,MATCH(Total!B45,'SSA1'!B:B,0)),"-")</f>
        <v>-</v>
      </c>
      <c r="F45" s="25" t="str">
        <f>IFERROR(INDEX('SSA2'!E:E,MATCH(Total!B45,'SSA2'!B:B,0)),"-")</f>
        <v>-</v>
      </c>
      <c r="G45" s="15" t="str">
        <f>IFERROR(INDEX('SSA3'!E:E,MATCH(Total!B45,'SSA3'!B:B,0)),"-")</f>
        <v>-</v>
      </c>
      <c r="H45" s="15" t="str">
        <f>IFERROR(INDEX('SSA5'!E:E,MATCH(Total!B45,'SSA5'!B:B,0)),"-")</f>
        <v>-</v>
      </c>
      <c r="I45" s="15" t="str">
        <f>IFERROR(INDEX('SSA6'!E:E,MATCH(Total!B45,'SSA6'!B:B,0)),"-")</f>
        <v>-</v>
      </c>
      <c r="J45" s="15" t="str">
        <f>IFERROR(INDEX('SSA7'!E:E,MATCH(Total!B45,'SSA7'!B:B,0)),"-")</f>
        <v>-</v>
      </c>
    </row>
    <row r="46" spans="1:10" ht="22.2" customHeight="1" x14ac:dyDescent="0.55000000000000004">
      <c r="A46" s="15">
        <v>44</v>
      </c>
      <c r="B46" s="36" t="s">
        <v>441</v>
      </c>
      <c r="C46" s="37" t="s">
        <v>200</v>
      </c>
      <c r="D46" s="37" t="s">
        <v>576</v>
      </c>
      <c r="E46" s="25" t="str">
        <f>IFERROR(INDEX('SSA1'!E:E,MATCH(Total!B46,'SSA1'!B:B,0)),"-")</f>
        <v>-</v>
      </c>
      <c r="F46" s="25" t="str">
        <f>IFERROR(INDEX('SSA2'!E:E,MATCH(Total!B46,'SSA2'!B:B,0)),"-")</f>
        <v>-</v>
      </c>
      <c r="G46" s="15" t="str">
        <f>IFERROR(INDEX('SSA3'!E:E,MATCH(Total!B46,'SSA3'!B:B,0)),"-")</f>
        <v>-</v>
      </c>
      <c r="H46" s="15" t="str">
        <f>IFERROR(INDEX('SSA5'!E:E,MATCH(Total!B46,'SSA5'!B:B,0)),"-")</f>
        <v>-</v>
      </c>
      <c r="I46" s="15" t="str">
        <f>IFERROR(INDEX('SSA6'!E:E,MATCH(Total!B46,'SSA6'!B:B,0)),"-")</f>
        <v>-</v>
      </c>
      <c r="J46" s="15" t="str">
        <f>IFERROR(INDEX('SSA7'!E:E,MATCH(Total!B46,'SSA7'!B:B,0)),"-")</f>
        <v>-</v>
      </c>
    </row>
    <row r="47" spans="1:10" ht="22.2" customHeight="1" x14ac:dyDescent="0.55000000000000004">
      <c r="A47" s="15">
        <v>45</v>
      </c>
      <c r="B47" s="36" t="s">
        <v>442</v>
      </c>
      <c r="C47" s="37" t="s">
        <v>201</v>
      </c>
      <c r="D47" s="37" t="s">
        <v>19</v>
      </c>
      <c r="E47" s="25" t="str">
        <f>IFERROR(INDEX('SSA1'!E:E,MATCH(Total!B47,'SSA1'!B:B,0)),"-")</f>
        <v>-</v>
      </c>
      <c r="F47" s="25" t="str">
        <f>IFERROR(INDEX('SSA2'!E:E,MATCH(Total!B47,'SSA2'!B:B,0)),"-")</f>
        <v>-</v>
      </c>
      <c r="G47" s="15" t="str">
        <f>IFERROR(INDEX('SSA3'!E:E,MATCH(Total!B47,'SSA3'!B:B,0)),"-")</f>
        <v>-</v>
      </c>
      <c r="H47" s="15" t="str">
        <f>IFERROR(INDEX('SSA5'!E:E,MATCH(Total!B47,'SSA5'!B:B,0)),"-")</f>
        <v>-</v>
      </c>
      <c r="I47" s="15" t="str">
        <f>IFERROR(INDEX('SSA6'!E:E,MATCH(Total!B47,'SSA6'!B:B,0)),"-")</f>
        <v>-</v>
      </c>
      <c r="J47" s="15" t="str">
        <f>IFERROR(INDEX('SSA7'!E:E,MATCH(Total!B47,'SSA7'!B:B,0)),"-")</f>
        <v>-</v>
      </c>
    </row>
    <row r="48" spans="1:10" ht="22.2" customHeight="1" x14ac:dyDescent="0.55000000000000004">
      <c r="A48" s="15">
        <v>46</v>
      </c>
      <c r="B48" s="36" t="s">
        <v>443</v>
      </c>
      <c r="C48" s="37" t="s">
        <v>202</v>
      </c>
      <c r="D48" s="37" t="s">
        <v>575</v>
      </c>
      <c r="E48" s="25" t="str">
        <f>IFERROR(INDEX('SSA1'!E:E,MATCH(Total!B48,'SSA1'!B:B,0)),"-")</f>
        <v>-</v>
      </c>
      <c r="F48" s="25" t="str">
        <f>IFERROR(INDEX('SSA2'!E:E,MATCH(Total!B48,'SSA2'!B:B,0)),"-")</f>
        <v>-</v>
      </c>
      <c r="G48" s="15" t="str">
        <f>IFERROR(INDEX('SSA3'!E:E,MATCH(Total!B48,'SSA3'!B:B,0)),"-")</f>
        <v>-</v>
      </c>
      <c r="H48" s="15" t="str">
        <f>IFERROR(INDEX('SSA5'!E:E,MATCH(Total!B48,'SSA5'!B:B,0)),"-")</f>
        <v>-</v>
      </c>
      <c r="I48" s="15" t="str">
        <f>IFERROR(INDEX('SSA6'!E:E,MATCH(Total!B48,'SSA6'!B:B,0)),"-")</f>
        <v>-</v>
      </c>
      <c r="J48" s="15" t="str">
        <f>IFERROR(INDEX('SSA7'!E:E,MATCH(Total!B48,'SSA7'!B:B,0)),"-")</f>
        <v>-</v>
      </c>
    </row>
    <row r="49" spans="1:10" ht="22.2" customHeight="1" x14ac:dyDescent="0.55000000000000004">
      <c r="A49" s="15">
        <v>47</v>
      </c>
      <c r="B49" s="36" t="s">
        <v>444</v>
      </c>
      <c r="C49" s="37" t="s">
        <v>203</v>
      </c>
      <c r="D49" s="37" t="s">
        <v>19</v>
      </c>
      <c r="E49" s="25" t="str">
        <f>IFERROR(INDEX('SSA1'!E:E,MATCH(Total!B49,'SSA1'!B:B,0)),"-")</f>
        <v>-</v>
      </c>
      <c r="F49" s="25" t="str">
        <f>IFERROR(INDEX('SSA2'!E:E,MATCH(Total!B49,'SSA2'!B:B,0)),"-")</f>
        <v>-</v>
      </c>
      <c r="G49" s="15" t="str">
        <f>IFERROR(INDEX('SSA3'!E:E,MATCH(Total!B49,'SSA3'!B:B,0)),"-")</f>
        <v>-</v>
      </c>
      <c r="H49" s="15" t="str">
        <f>IFERROR(INDEX('SSA5'!E:E,MATCH(Total!B49,'SSA5'!B:B,0)),"-")</f>
        <v>-</v>
      </c>
      <c r="I49" s="15" t="str">
        <f>IFERROR(INDEX('SSA6'!E:E,MATCH(Total!B49,'SSA6'!B:B,0)),"-")</f>
        <v>-</v>
      </c>
      <c r="J49" s="15" t="str">
        <f>IFERROR(INDEX('SSA7'!E:E,MATCH(Total!B49,'SSA7'!B:B,0)),"-")</f>
        <v>-</v>
      </c>
    </row>
    <row r="50" spans="1:10" ht="22.2" customHeight="1" x14ac:dyDescent="0.55000000000000004">
      <c r="A50" s="15">
        <v>48</v>
      </c>
      <c r="B50" s="36" t="s">
        <v>445</v>
      </c>
      <c r="C50" s="37" t="s">
        <v>204</v>
      </c>
      <c r="D50" s="37" t="s">
        <v>19</v>
      </c>
      <c r="E50" s="25" t="str">
        <f>IFERROR(INDEX('SSA1'!E:E,MATCH(Total!B50,'SSA1'!B:B,0)),"-")</f>
        <v>-</v>
      </c>
      <c r="F50" s="25" t="str">
        <f>IFERROR(INDEX('SSA2'!E:E,MATCH(Total!B50,'SSA2'!B:B,0)),"-")</f>
        <v>-</v>
      </c>
      <c r="G50" s="15" t="str">
        <f>IFERROR(INDEX('SSA3'!E:E,MATCH(Total!B50,'SSA3'!B:B,0)),"-")</f>
        <v>-</v>
      </c>
      <c r="H50" s="15" t="str">
        <f>IFERROR(INDEX('SSA5'!E:E,MATCH(Total!B50,'SSA5'!B:B,0)),"-")</f>
        <v>-</v>
      </c>
      <c r="I50" s="15" t="str">
        <f>IFERROR(INDEX('SSA6'!E:E,MATCH(Total!B50,'SSA6'!B:B,0)),"-")</f>
        <v>-</v>
      </c>
      <c r="J50" s="15" t="str">
        <f>IFERROR(INDEX('SSA7'!E:E,MATCH(Total!B50,'SSA7'!B:B,0)),"-")</f>
        <v>-</v>
      </c>
    </row>
    <row r="51" spans="1:10" ht="22.2" customHeight="1" x14ac:dyDescent="0.55000000000000004">
      <c r="A51" s="15">
        <v>49</v>
      </c>
      <c r="B51" s="36" t="s">
        <v>446</v>
      </c>
      <c r="C51" s="37" t="s">
        <v>205</v>
      </c>
      <c r="D51" s="37" t="s">
        <v>111</v>
      </c>
      <c r="E51" s="25" t="str">
        <f>IFERROR(INDEX('SSA1'!E:E,MATCH(Total!B51,'SSA1'!B:B,0)),"-")</f>
        <v>-</v>
      </c>
      <c r="F51" s="25" t="str">
        <f>IFERROR(INDEX('SSA2'!E:E,MATCH(Total!B51,'SSA2'!B:B,0)),"-")</f>
        <v>-</v>
      </c>
      <c r="G51" s="15" t="str">
        <f>IFERROR(INDEX('SSA3'!E:E,MATCH(Total!B51,'SSA3'!B:B,0)),"-")</f>
        <v>-</v>
      </c>
      <c r="H51" s="15" t="str">
        <f>IFERROR(INDEX('SSA5'!E:E,MATCH(Total!B51,'SSA5'!B:B,0)),"-")</f>
        <v>-</v>
      </c>
      <c r="I51" s="15" t="str">
        <f>IFERROR(INDEX('SSA6'!E:E,MATCH(Total!B51,'SSA6'!B:B,0)),"-")</f>
        <v>-</v>
      </c>
      <c r="J51" s="15" t="str">
        <f>IFERROR(INDEX('SSA7'!E:E,MATCH(Total!B51,'SSA7'!B:B,0)),"-")</f>
        <v>-</v>
      </c>
    </row>
    <row r="52" spans="1:10" ht="22.2" customHeight="1" x14ac:dyDescent="0.55000000000000004">
      <c r="A52" s="15">
        <v>50</v>
      </c>
      <c r="B52" s="36" t="s">
        <v>447</v>
      </c>
      <c r="C52" s="37" t="s">
        <v>206</v>
      </c>
      <c r="D52" s="37" t="s">
        <v>5</v>
      </c>
      <c r="E52" s="25" t="str">
        <f>IFERROR(INDEX('SSA1'!E:E,MATCH(Total!B52,'SSA1'!B:B,0)),"-")</f>
        <v>-</v>
      </c>
      <c r="F52" s="25" t="str">
        <f>IFERROR(INDEX('SSA2'!E:E,MATCH(Total!B52,'SSA2'!B:B,0)),"-")</f>
        <v>-</v>
      </c>
      <c r="G52" s="15" t="str">
        <f>IFERROR(INDEX('SSA3'!E:E,MATCH(Total!B52,'SSA3'!B:B,0)),"-")</f>
        <v>-</v>
      </c>
      <c r="H52" s="15" t="str">
        <f>IFERROR(INDEX('SSA5'!E:E,MATCH(Total!B52,'SSA5'!B:B,0)),"-")</f>
        <v>-</v>
      </c>
      <c r="I52" s="15" t="str">
        <f>IFERROR(INDEX('SSA6'!E:E,MATCH(Total!B52,'SSA6'!B:B,0)),"-")</f>
        <v>-</v>
      </c>
      <c r="J52" s="15" t="str">
        <f>IFERROR(INDEX('SSA7'!E:E,MATCH(Total!B52,'SSA7'!B:B,0)),"-")</f>
        <v>-</v>
      </c>
    </row>
    <row r="53" spans="1:10" ht="22.2" customHeight="1" x14ac:dyDescent="0.55000000000000004">
      <c r="A53" s="15">
        <v>51</v>
      </c>
      <c r="B53" s="36" t="s">
        <v>448</v>
      </c>
      <c r="C53" s="37" t="s">
        <v>207</v>
      </c>
      <c r="D53" s="37" t="s">
        <v>66</v>
      </c>
      <c r="E53" s="25" t="str">
        <f>IFERROR(INDEX('SSA1'!E:E,MATCH(Total!B53,'SSA1'!B:B,0)),"-")</f>
        <v>-</v>
      </c>
      <c r="F53" s="25" t="str">
        <f>IFERROR(INDEX('SSA2'!E:E,MATCH(Total!B53,'SSA2'!B:B,0)),"-")</f>
        <v>-</v>
      </c>
      <c r="G53" s="15" t="str">
        <f>IFERROR(INDEX('SSA3'!E:E,MATCH(Total!B53,'SSA3'!B:B,0)),"-")</f>
        <v>-</v>
      </c>
      <c r="H53" s="15" t="str">
        <f>IFERROR(INDEX('SSA5'!E:E,MATCH(Total!B53,'SSA5'!B:B,0)),"-")</f>
        <v>-</v>
      </c>
      <c r="I53" s="15" t="str">
        <f>IFERROR(INDEX('SSA6'!E:E,MATCH(Total!B53,'SSA6'!B:B,0)),"-")</f>
        <v>-</v>
      </c>
      <c r="J53" s="15" t="str">
        <f>IFERROR(INDEX('SSA7'!E:E,MATCH(Total!B53,'SSA7'!B:B,0)),"-")</f>
        <v>-</v>
      </c>
    </row>
    <row r="54" spans="1:10" ht="22.2" customHeight="1" x14ac:dyDescent="0.55000000000000004">
      <c r="A54" s="15">
        <v>52</v>
      </c>
      <c r="B54" s="36" t="s">
        <v>449</v>
      </c>
      <c r="C54" s="37" t="s">
        <v>208</v>
      </c>
      <c r="D54" s="37" t="s">
        <v>575</v>
      </c>
      <c r="E54" s="25" t="str">
        <f>IFERROR(INDEX('SSA1'!E:E,MATCH(Total!B54,'SSA1'!B:B,0)),"-")</f>
        <v>-</v>
      </c>
      <c r="F54" s="25" t="str">
        <f>IFERROR(INDEX('SSA2'!E:E,MATCH(Total!B54,'SSA2'!B:B,0)),"-")</f>
        <v>-</v>
      </c>
      <c r="G54" s="15" t="str">
        <f>IFERROR(INDEX('SSA3'!E:E,MATCH(Total!B54,'SSA3'!B:B,0)),"-")</f>
        <v>-</v>
      </c>
      <c r="H54" s="15" t="str">
        <f>IFERROR(INDEX('SSA5'!E:E,MATCH(Total!B54,'SSA5'!B:B,0)),"-")</f>
        <v>-</v>
      </c>
      <c r="I54" s="15" t="str">
        <f>IFERROR(INDEX('SSA6'!E:E,MATCH(Total!B54,'SSA6'!B:B,0)),"-")</f>
        <v>-</v>
      </c>
      <c r="J54" s="15" t="str">
        <f>IFERROR(INDEX('SSA7'!E:E,MATCH(Total!B54,'SSA7'!B:B,0)),"-")</f>
        <v>-</v>
      </c>
    </row>
    <row r="55" spans="1:10" ht="22.2" customHeight="1" x14ac:dyDescent="0.55000000000000004">
      <c r="A55" s="15">
        <v>53</v>
      </c>
      <c r="B55" s="36" t="s">
        <v>450</v>
      </c>
      <c r="C55" s="37" t="s">
        <v>209</v>
      </c>
      <c r="D55" s="37" t="s">
        <v>25</v>
      </c>
      <c r="E55" s="25" t="str">
        <f>IFERROR(INDEX('SSA1'!E:E,MATCH(Total!B55,'SSA1'!B:B,0)),"-")</f>
        <v>-</v>
      </c>
      <c r="F55" s="25" t="str">
        <f>IFERROR(INDEX('SSA2'!E:E,MATCH(Total!B55,'SSA2'!B:B,0)),"-")</f>
        <v>-</v>
      </c>
      <c r="G55" s="15" t="str">
        <f>IFERROR(INDEX('SSA3'!E:E,MATCH(Total!B55,'SSA3'!B:B,0)),"-")</f>
        <v>-</v>
      </c>
      <c r="H55" s="15" t="str">
        <f>IFERROR(INDEX('SSA5'!E:E,MATCH(Total!B55,'SSA5'!B:B,0)),"-")</f>
        <v>-</v>
      </c>
      <c r="I55" s="15" t="str">
        <f>IFERROR(INDEX('SSA6'!E:E,MATCH(Total!B55,'SSA6'!B:B,0)),"-")</f>
        <v>-</v>
      </c>
      <c r="J55" s="15" t="str">
        <f>IFERROR(INDEX('SSA7'!E:E,MATCH(Total!B55,'SSA7'!B:B,0)),"-")</f>
        <v>-</v>
      </c>
    </row>
    <row r="56" spans="1:10" ht="22.2" customHeight="1" x14ac:dyDescent="0.55000000000000004">
      <c r="A56" s="15">
        <v>54</v>
      </c>
      <c r="B56" s="36" t="s">
        <v>451</v>
      </c>
      <c r="C56" s="37" t="s">
        <v>210</v>
      </c>
      <c r="D56" s="37" t="s">
        <v>25</v>
      </c>
      <c r="E56" s="25" t="str">
        <f>IFERROR(INDEX('SSA1'!E:E,MATCH(Total!B56,'SSA1'!B:B,0)),"-")</f>
        <v>-</v>
      </c>
      <c r="F56" s="25" t="str">
        <f>IFERROR(INDEX('SSA2'!E:E,MATCH(Total!B56,'SSA2'!B:B,0)),"-")</f>
        <v>-</v>
      </c>
      <c r="G56" s="15" t="str">
        <f>IFERROR(INDEX('SSA3'!E:E,MATCH(Total!B56,'SSA3'!B:B,0)),"-")</f>
        <v>-</v>
      </c>
      <c r="H56" s="15" t="str">
        <f>IFERROR(INDEX('SSA5'!E:E,MATCH(Total!B56,'SSA5'!B:B,0)),"-")</f>
        <v>-</v>
      </c>
      <c r="I56" s="15" t="str">
        <f>IFERROR(INDEX('SSA6'!E:E,MATCH(Total!B56,'SSA6'!B:B,0)),"-")</f>
        <v>-</v>
      </c>
      <c r="J56" s="15" t="str">
        <f>IFERROR(INDEX('SSA7'!E:E,MATCH(Total!B56,'SSA7'!B:B,0)),"-")</f>
        <v>-</v>
      </c>
    </row>
    <row r="57" spans="1:10" ht="22.2" customHeight="1" x14ac:dyDescent="0.55000000000000004">
      <c r="A57" s="15">
        <v>55</v>
      </c>
      <c r="B57" s="36" t="s">
        <v>452</v>
      </c>
      <c r="C57" s="37" t="s">
        <v>211</v>
      </c>
      <c r="D57" s="37" t="s">
        <v>25</v>
      </c>
      <c r="E57" s="25" t="str">
        <f>IFERROR(INDEX('SSA1'!E:E,MATCH(Total!B57,'SSA1'!B:B,0)),"-")</f>
        <v>-</v>
      </c>
      <c r="F57" s="25" t="str">
        <f>IFERROR(INDEX('SSA2'!E:E,MATCH(Total!B57,'SSA2'!B:B,0)),"-")</f>
        <v>-</v>
      </c>
      <c r="G57" s="15" t="str">
        <f>IFERROR(INDEX('SSA3'!E:E,MATCH(Total!B57,'SSA3'!B:B,0)),"-")</f>
        <v>-</v>
      </c>
      <c r="H57" s="15" t="str">
        <f>IFERROR(INDEX('SSA5'!E:E,MATCH(Total!B57,'SSA5'!B:B,0)),"-")</f>
        <v>-</v>
      </c>
      <c r="I57" s="15" t="str">
        <f>IFERROR(INDEX('SSA6'!E:E,MATCH(Total!B57,'SSA6'!B:B,0)),"-")</f>
        <v>-</v>
      </c>
      <c r="J57" s="15" t="str">
        <f>IFERROR(INDEX('SSA7'!E:E,MATCH(Total!B57,'SSA7'!B:B,0)),"-")</f>
        <v>-</v>
      </c>
    </row>
    <row r="58" spans="1:10" ht="22.2" customHeight="1" x14ac:dyDescent="0.55000000000000004">
      <c r="A58" s="15">
        <v>56</v>
      </c>
      <c r="B58" s="36" t="s">
        <v>152</v>
      </c>
      <c r="C58" s="37" t="s">
        <v>212</v>
      </c>
      <c r="D58" s="37" t="s">
        <v>111</v>
      </c>
      <c r="E58" s="25">
        <f>IFERROR(INDEX('SSA1'!E:E,MATCH(Total!B58,'SSA1'!B:B,0)),"-")</f>
        <v>15</v>
      </c>
      <c r="F58" s="25" t="str">
        <f>IFERROR(INDEX('SSA2'!E:E,MATCH(Total!B58,'SSA2'!B:B,0)),"-")</f>
        <v>-</v>
      </c>
      <c r="G58" s="15">
        <f>IFERROR(INDEX('SSA3'!E:E,MATCH(Total!B58,'SSA3'!B:B,0)),"-")</f>
        <v>4</v>
      </c>
      <c r="H58" s="15">
        <f>IFERROR(INDEX('SSA5'!E:E,MATCH(Total!B58,'SSA5'!B:B,0)),"-")</f>
        <v>19</v>
      </c>
      <c r="I58" s="15">
        <f>IFERROR(INDEX('SSA6'!E:E,MATCH(Total!B58,'SSA6'!B:B,0)),"-")</f>
        <v>3</v>
      </c>
      <c r="J58" s="15">
        <f>IFERROR(INDEX('SSA7'!E:E,MATCH(Total!B58,'SSA7'!B:B,0)),"-")</f>
        <v>8</v>
      </c>
    </row>
    <row r="59" spans="1:10" ht="22.2" customHeight="1" x14ac:dyDescent="0.55000000000000004">
      <c r="A59" s="15">
        <v>57</v>
      </c>
      <c r="B59" s="36" t="s">
        <v>453</v>
      </c>
      <c r="C59" s="37" t="s">
        <v>213</v>
      </c>
      <c r="D59" s="37" t="s">
        <v>4</v>
      </c>
      <c r="E59" s="25" t="str">
        <f>IFERROR(INDEX('SSA1'!E:E,MATCH(Total!B59,'SSA1'!B:B,0)),"-")</f>
        <v>-</v>
      </c>
      <c r="F59" s="25" t="str">
        <f>IFERROR(INDEX('SSA2'!E:E,MATCH(Total!B59,'SSA2'!B:B,0)),"-")</f>
        <v>-</v>
      </c>
      <c r="G59" s="15" t="str">
        <f>IFERROR(INDEX('SSA3'!E:E,MATCH(Total!B59,'SSA3'!B:B,0)),"-")</f>
        <v>-</v>
      </c>
      <c r="H59" s="15" t="str">
        <f>IFERROR(INDEX('SSA5'!E:E,MATCH(Total!B59,'SSA5'!B:B,0)),"-")</f>
        <v>-</v>
      </c>
      <c r="I59" s="15" t="str">
        <f>IFERROR(INDEX('SSA6'!E:E,MATCH(Total!B59,'SSA6'!B:B,0)),"-")</f>
        <v>-</v>
      </c>
      <c r="J59" s="15" t="str">
        <f>IFERROR(INDEX('SSA7'!E:E,MATCH(Total!B59,'SSA7'!B:B,0)),"-")</f>
        <v>-</v>
      </c>
    </row>
    <row r="60" spans="1:10" ht="22.2" customHeight="1" x14ac:dyDescent="0.55000000000000004">
      <c r="A60" s="15">
        <v>58</v>
      </c>
      <c r="B60" s="36" t="s">
        <v>454</v>
      </c>
      <c r="C60" s="37" t="s">
        <v>214</v>
      </c>
      <c r="D60" s="37" t="s">
        <v>4</v>
      </c>
      <c r="E60" s="25" t="str">
        <f>IFERROR(INDEX('SSA1'!E:E,MATCH(Total!B60,'SSA1'!B:B,0)),"-")</f>
        <v>-</v>
      </c>
      <c r="F60" s="25" t="str">
        <f>IFERROR(INDEX('SSA2'!E:E,MATCH(Total!B60,'SSA2'!B:B,0)),"-")</f>
        <v>-</v>
      </c>
      <c r="G60" s="15" t="str">
        <f>IFERROR(INDEX('SSA3'!E:E,MATCH(Total!B60,'SSA3'!B:B,0)),"-")</f>
        <v>-</v>
      </c>
      <c r="H60" s="15" t="str">
        <f>IFERROR(INDEX('SSA5'!E:E,MATCH(Total!B60,'SSA5'!B:B,0)),"-")</f>
        <v>-</v>
      </c>
      <c r="I60" s="15" t="str">
        <f>IFERROR(INDEX('SSA6'!E:E,MATCH(Total!B60,'SSA6'!B:B,0)),"-")</f>
        <v>-</v>
      </c>
      <c r="J60" s="15" t="str">
        <f>IFERROR(INDEX('SSA7'!E:E,MATCH(Total!B60,'SSA7'!B:B,0)),"-")</f>
        <v>-</v>
      </c>
    </row>
    <row r="61" spans="1:10" ht="22.2" customHeight="1" x14ac:dyDescent="0.55000000000000004">
      <c r="A61" s="15">
        <v>59</v>
      </c>
      <c r="B61" s="36" t="s">
        <v>455</v>
      </c>
      <c r="C61" s="37" t="s">
        <v>215</v>
      </c>
      <c r="D61" s="37" t="s">
        <v>4</v>
      </c>
      <c r="E61" s="25" t="str">
        <f>IFERROR(INDEX('SSA1'!E:E,MATCH(Total!B61,'SSA1'!B:B,0)),"-")</f>
        <v>-</v>
      </c>
      <c r="F61" s="25" t="str">
        <f>IFERROR(INDEX('SSA2'!E:E,MATCH(Total!B61,'SSA2'!B:B,0)),"-")</f>
        <v>-</v>
      </c>
      <c r="G61" s="15" t="str">
        <f>IFERROR(INDEX('SSA3'!E:E,MATCH(Total!B61,'SSA3'!B:B,0)),"-")</f>
        <v>-</v>
      </c>
      <c r="H61" s="15" t="str">
        <f>IFERROR(INDEX('SSA5'!E:E,MATCH(Total!B61,'SSA5'!B:B,0)),"-")</f>
        <v>-</v>
      </c>
      <c r="I61" s="15" t="str">
        <f>IFERROR(INDEX('SSA6'!E:E,MATCH(Total!B61,'SSA6'!B:B,0)),"-")</f>
        <v>-</v>
      </c>
      <c r="J61" s="15" t="str">
        <f>IFERROR(INDEX('SSA7'!E:E,MATCH(Total!B61,'SSA7'!B:B,0)),"-")</f>
        <v>-</v>
      </c>
    </row>
    <row r="62" spans="1:10" ht="22.2" customHeight="1" x14ac:dyDescent="0.55000000000000004">
      <c r="A62" s="15">
        <v>60</v>
      </c>
      <c r="B62" s="36" t="s">
        <v>456</v>
      </c>
      <c r="C62" s="37" t="s">
        <v>216</v>
      </c>
      <c r="D62" s="37" t="s">
        <v>576</v>
      </c>
      <c r="E62" s="25" t="str">
        <f>IFERROR(INDEX('SSA1'!E:E,MATCH(Total!B62,'SSA1'!B:B,0)),"-")</f>
        <v>-</v>
      </c>
      <c r="F62" s="25" t="str">
        <f>IFERROR(INDEX('SSA2'!E:E,MATCH(Total!B62,'SSA2'!B:B,0)),"-")</f>
        <v>-</v>
      </c>
      <c r="G62" s="15" t="str">
        <f>IFERROR(INDEX('SSA3'!E:E,MATCH(Total!B62,'SSA3'!B:B,0)),"-")</f>
        <v>-</v>
      </c>
      <c r="H62" s="15" t="str">
        <f>IFERROR(INDEX('SSA5'!E:E,MATCH(Total!B62,'SSA5'!B:B,0)),"-")</f>
        <v>-</v>
      </c>
      <c r="I62" s="15" t="str">
        <f>IFERROR(INDEX('SSA6'!E:E,MATCH(Total!B62,'SSA6'!B:B,0)),"-")</f>
        <v>-</v>
      </c>
      <c r="J62" s="15" t="str">
        <f>IFERROR(INDEX('SSA7'!E:E,MATCH(Total!B62,'SSA7'!B:B,0)),"-")</f>
        <v>-</v>
      </c>
    </row>
    <row r="63" spans="1:10" ht="22.2" customHeight="1" x14ac:dyDescent="0.55000000000000004">
      <c r="A63" s="15">
        <v>61</v>
      </c>
      <c r="B63" s="36" t="s">
        <v>457</v>
      </c>
      <c r="C63" s="37" t="s">
        <v>217</v>
      </c>
      <c r="D63" s="37" t="s">
        <v>25</v>
      </c>
      <c r="E63" s="25" t="str">
        <f>IFERROR(INDEX('SSA1'!E:E,MATCH(Total!B63,'SSA1'!B:B,0)),"-")</f>
        <v>-</v>
      </c>
      <c r="F63" s="25" t="str">
        <f>IFERROR(INDEX('SSA2'!E:E,MATCH(Total!B63,'SSA2'!B:B,0)),"-")</f>
        <v>-</v>
      </c>
      <c r="G63" s="15" t="str">
        <f>IFERROR(INDEX('SSA3'!E:E,MATCH(Total!B63,'SSA3'!B:B,0)),"-")</f>
        <v>-</v>
      </c>
      <c r="H63" s="15" t="str">
        <f>IFERROR(INDEX('SSA5'!E:E,MATCH(Total!B63,'SSA5'!B:B,0)),"-")</f>
        <v>-</v>
      </c>
      <c r="I63" s="15" t="str">
        <f>IFERROR(INDEX('SSA6'!E:E,MATCH(Total!B63,'SSA6'!B:B,0)),"-")</f>
        <v>-</v>
      </c>
      <c r="J63" s="15" t="str">
        <f>IFERROR(INDEX('SSA7'!E:E,MATCH(Total!B63,'SSA7'!B:B,0)),"-")</f>
        <v>-</v>
      </c>
    </row>
    <row r="64" spans="1:10" ht="22.2" customHeight="1" x14ac:dyDescent="0.55000000000000004">
      <c r="A64" s="15">
        <v>62</v>
      </c>
      <c r="B64" s="36" t="s">
        <v>458</v>
      </c>
      <c r="C64" s="37" t="s">
        <v>218</v>
      </c>
      <c r="D64" s="37" t="s">
        <v>25</v>
      </c>
      <c r="E64" s="25" t="str">
        <f>IFERROR(INDEX('SSA1'!E:E,MATCH(Total!B64,'SSA1'!B:B,0)),"-")</f>
        <v>-</v>
      </c>
      <c r="F64" s="25" t="str">
        <f>IFERROR(INDEX('SSA2'!E:E,MATCH(Total!B64,'SSA2'!B:B,0)),"-")</f>
        <v>-</v>
      </c>
      <c r="G64" s="15" t="str">
        <f>IFERROR(INDEX('SSA3'!E:E,MATCH(Total!B64,'SSA3'!B:B,0)),"-")</f>
        <v>-</v>
      </c>
      <c r="H64" s="15" t="str">
        <f>IFERROR(INDEX('SSA5'!E:E,MATCH(Total!B64,'SSA5'!B:B,0)),"-")</f>
        <v>-</v>
      </c>
      <c r="I64" s="15" t="str">
        <f>IFERROR(INDEX('SSA6'!E:E,MATCH(Total!B64,'SSA6'!B:B,0)),"-")</f>
        <v>-</v>
      </c>
      <c r="J64" s="15" t="str">
        <f>IFERROR(INDEX('SSA7'!E:E,MATCH(Total!B64,'SSA7'!B:B,0)),"-")</f>
        <v>-</v>
      </c>
    </row>
    <row r="65" spans="1:10" ht="22.2" customHeight="1" x14ac:dyDescent="0.55000000000000004">
      <c r="A65" s="15">
        <v>63</v>
      </c>
      <c r="B65" s="36" t="s">
        <v>118</v>
      </c>
      <c r="C65" s="37" t="s">
        <v>219</v>
      </c>
      <c r="D65" s="37" t="s">
        <v>25</v>
      </c>
      <c r="E65" s="25">
        <f>IFERROR(INDEX('SSA1'!E:E,MATCH(Total!B65,'SSA1'!B:B,0)),"-")</f>
        <v>55</v>
      </c>
      <c r="F65" s="25">
        <f>IFERROR(INDEX('SSA2'!E:E,MATCH(Total!B65,'SSA2'!B:B,0)),"-")</f>
        <v>10</v>
      </c>
      <c r="G65" s="15">
        <f>IFERROR(INDEX('SSA3'!E:E,MATCH(Total!B65,'SSA3'!B:B,0)),"-")</f>
        <v>20</v>
      </c>
      <c r="H65" s="15">
        <f>IFERROR(INDEX('SSA5'!E:E,MATCH(Total!B65,'SSA5'!B:B,0)),"-")</f>
        <v>26</v>
      </c>
      <c r="I65" s="15">
        <f>IFERROR(INDEX('SSA6'!E:E,MATCH(Total!B65,'SSA6'!B:B,0)),"-")</f>
        <v>10</v>
      </c>
      <c r="J65" s="15">
        <f>IFERROR(INDEX('SSA7'!E:E,MATCH(Total!B65,'SSA7'!B:B,0)),"-")</f>
        <v>71</v>
      </c>
    </row>
    <row r="66" spans="1:10" ht="22.2" customHeight="1" x14ac:dyDescent="0.55000000000000004">
      <c r="A66" s="15">
        <v>64</v>
      </c>
      <c r="B66" s="36" t="s">
        <v>140</v>
      </c>
      <c r="C66" s="37" t="s">
        <v>220</v>
      </c>
      <c r="D66" s="37" t="s">
        <v>111</v>
      </c>
      <c r="E66" s="25">
        <f>IFERROR(INDEX('SSA1'!E:E,MATCH(Total!B66,'SSA1'!B:B,0)),"-")</f>
        <v>29</v>
      </c>
      <c r="F66" s="25" t="str">
        <f>IFERROR(INDEX('SSA2'!E:E,MATCH(Total!B66,'SSA2'!B:B,0)),"-")</f>
        <v>-</v>
      </c>
      <c r="G66" s="15">
        <f>IFERROR(INDEX('SSA3'!E:E,MATCH(Total!B66,'SSA3'!B:B,0)),"-")</f>
        <v>4</v>
      </c>
      <c r="H66" s="15">
        <f>IFERROR(INDEX('SSA5'!E:E,MATCH(Total!B66,'SSA5'!B:B,0)),"-")</f>
        <v>43</v>
      </c>
      <c r="I66" s="15">
        <f>IFERROR(INDEX('SSA6'!E:E,MATCH(Total!B66,'SSA6'!B:B,0)),"-")</f>
        <v>18</v>
      </c>
      <c r="J66" s="15">
        <f>IFERROR(INDEX('SSA7'!E:E,MATCH(Total!B66,'SSA7'!B:B,0)),"-")</f>
        <v>5</v>
      </c>
    </row>
    <row r="67" spans="1:10" ht="22.2" customHeight="1" x14ac:dyDescent="0.55000000000000004">
      <c r="A67" s="15">
        <v>65</v>
      </c>
      <c r="B67" s="36" t="s">
        <v>112</v>
      </c>
      <c r="C67" s="37" t="s">
        <v>221</v>
      </c>
      <c r="D67" s="37" t="s">
        <v>25</v>
      </c>
      <c r="E67" s="25">
        <f>IFERROR(INDEX('SSA1'!E:E,MATCH(Total!B67,'SSA1'!B:B,0)),"-")</f>
        <v>32</v>
      </c>
      <c r="F67" s="25" t="str">
        <f>IFERROR(INDEX('SSA2'!E:E,MATCH(Total!B67,'SSA2'!B:B,0)),"-")</f>
        <v>-</v>
      </c>
      <c r="G67" s="15">
        <f>IFERROR(INDEX('SSA3'!E:E,MATCH(Total!B67,'SSA3'!B:B,0)),"-")</f>
        <v>2</v>
      </c>
      <c r="H67" s="15" t="str">
        <f>IFERROR(INDEX('SSA5'!E:E,MATCH(Total!B67,'SSA5'!B:B,0)),"-")</f>
        <v>-</v>
      </c>
      <c r="I67" s="15">
        <f>IFERROR(INDEX('SSA6'!E:E,MATCH(Total!B67,'SSA6'!B:B,0)),"-")</f>
        <v>19</v>
      </c>
      <c r="J67" s="15">
        <f>IFERROR(INDEX('SSA7'!E:E,MATCH(Total!B67,'SSA7'!B:B,0)),"-")</f>
        <v>2</v>
      </c>
    </row>
    <row r="68" spans="1:10" ht="22.2" customHeight="1" x14ac:dyDescent="0.55000000000000004">
      <c r="A68" s="15">
        <v>66</v>
      </c>
      <c r="B68" s="36" t="s">
        <v>114</v>
      </c>
      <c r="C68" s="37" t="s">
        <v>222</v>
      </c>
      <c r="D68" s="37" t="s">
        <v>25</v>
      </c>
      <c r="E68" s="25">
        <f>IFERROR(INDEX('SSA1'!E:E,MATCH(Total!B68,'SSA1'!B:B,0)),"-")</f>
        <v>57</v>
      </c>
      <c r="F68" s="25" t="str">
        <f>IFERROR(INDEX('SSA2'!E:E,MATCH(Total!B68,'SSA2'!B:B,0)),"-")</f>
        <v>-</v>
      </c>
      <c r="G68" s="15">
        <f>IFERROR(INDEX('SSA3'!E:E,MATCH(Total!B68,'SSA3'!B:B,0)),"-")</f>
        <v>8</v>
      </c>
      <c r="H68" s="15">
        <f>IFERROR(INDEX('SSA5'!E:E,MATCH(Total!B68,'SSA5'!B:B,0)),"-")</f>
        <v>16</v>
      </c>
      <c r="I68" s="15">
        <f>IFERROR(INDEX('SSA6'!E:E,MATCH(Total!B68,'SSA6'!B:B,0)),"-")</f>
        <v>10</v>
      </c>
      <c r="J68" s="15">
        <f>IFERROR(INDEX('SSA7'!E:E,MATCH(Total!B68,'SSA7'!B:B,0)),"-")</f>
        <v>21</v>
      </c>
    </row>
    <row r="69" spans="1:10" ht="22.2" customHeight="1" x14ac:dyDescent="0.55000000000000004">
      <c r="A69" s="15">
        <v>67</v>
      </c>
      <c r="B69" s="36" t="s">
        <v>116</v>
      </c>
      <c r="C69" s="37" t="s">
        <v>223</v>
      </c>
      <c r="D69" s="37" t="s">
        <v>111</v>
      </c>
      <c r="E69" s="25">
        <f>IFERROR(INDEX('SSA1'!E:E,MATCH(Total!B69,'SSA1'!B:B,0)),"-")</f>
        <v>20</v>
      </c>
      <c r="F69" s="25" t="str">
        <f>IFERROR(INDEX('SSA2'!E:E,MATCH(Total!B69,'SSA2'!B:B,0)),"-")</f>
        <v>-</v>
      </c>
      <c r="G69" s="15">
        <f>IFERROR(INDEX('SSA3'!E:E,MATCH(Total!B69,'SSA3'!B:B,0)),"-")</f>
        <v>17</v>
      </c>
      <c r="H69" s="15">
        <f>IFERROR(INDEX('SSA5'!E:E,MATCH(Total!B69,'SSA5'!B:B,0)),"-")</f>
        <v>27</v>
      </c>
      <c r="I69" s="15">
        <f>IFERROR(INDEX('SSA6'!E:E,MATCH(Total!B69,'SSA6'!B:B,0)),"-")</f>
        <v>7</v>
      </c>
      <c r="J69" s="15">
        <f>IFERROR(INDEX('SSA7'!E:E,MATCH(Total!B69,'SSA7'!B:B,0)),"-")</f>
        <v>3</v>
      </c>
    </row>
    <row r="70" spans="1:10" ht="22.2" customHeight="1" x14ac:dyDescent="0.55000000000000004">
      <c r="A70" s="15">
        <v>68</v>
      </c>
      <c r="B70" s="36" t="s">
        <v>459</v>
      </c>
      <c r="C70" s="37" t="s">
        <v>224</v>
      </c>
      <c r="D70" s="37" t="s">
        <v>25</v>
      </c>
      <c r="E70" s="25" t="str">
        <f>IFERROR(INDEX('SSA1'!E:E,MATCH(Total!B70,'SSA1'!B:B,0)),"-")</f>
        <v>-</v>
      </c>
      <c r="F70" s="25" t="str">
        <f>IFERROR(INDEX('SSA2'!E:E,MATCH(Total!B70,'SSA2'!B:B,0)),"-")</f>
        <v>-</v>
      </c>
      <c r="G70" s="15" t="str">
        <f>IFERROR(INDEX('SSA3'!E:E,MATCH(Total!B70,'SSA3'!B:B,0)),"-")</f>
        <v>-</v>
      </c>
      <c r="H70" s="15" t="str">
        <f>IFERROR(INDEX('SSA5'!E:E,MATCH(Total!B70,'SSA5'!B:B,0)),"-")</f>
        <v>-</v>
      </c>
      <c r="I70" s="15" t="str">
        <f>IFERROR(INDEX('SSA6'!E:E,MATCH(Total!B70,'SSA6'!B:B,0)),"-")</f>
        <v>-</v>
      </c>
      <c r="J70" s="15" t="str">
        <f>IFERROR(INDEX('SSA7'!E:E,MATCH(Total!B70,'SSA7'!B:B,0)),"-")</f>
        <v>-</v>
      </c>
    </row>
    <row r="71" spans="1:10" ht="22.2" customHeight="1" x14ac:dyDescent="0.55000000000000004">
      <c r="A71" s="15">
        <v>69</v>
      </c>
      <c r="B71" s="36" t="s">
        <v>460</v>
      </c>
      <c r="C71" s="37" t="s">
        <v>225</v>
      </c>
      <c r="D71" s="37" t="s">
        <v>25</v>
      </c>
      <c r="E71" s="25" t="str">
        <f>IFERROR(INDEX('SSA1'!E:E,MATCH(Total!B71,'SSA1'!B:B,0)),"-")</f>
        <v>-</v>
      </c>
      <c r="F71" s="25" t="str">
        <f>IFERROR(INDEX('SSA2'!E:E,MATCH(Total!B71,'SSA2'!B:B,0)),"-")</f>
        <v>-</v>
      </c>
      <c r="G71" s="15" t="str">
        <f>IFERROR(INDEX('SSA3'!E:E,MATCH(Total!B71,'SSA3'!B:B,0)),"-")</f>
        <v>-</v>
      </c>
      <c r="H71" s="15" t="str">
        <f>IFERROR(INDEX('SSA5'!E:E,MATCH(Total!B71,'SSA5'!B:B,0)),"-")</f>
        <v>-</v>
      </c>
      <c r="I71" s="15" t="str">
        <f>IFERROR(INDEX('SSA6'!E:E,MATCH(Total!B71,'SSA6'!B:B,0)),"-")</f>
        <v>-</v>
      </c>
      <c r="J71" s="15" t="str">
        <f>IFERROR(INDEX('SSA7'!E:E,MATCH(Total!B71,'SSA7'!B:B,0)),"-")</f>
        <v>-</v>
      </c>
    </row>
    <row r="72" spans="1:10" ht="22.2" customHeight="1" x14ac:dyDescent="0.55000000000000004">
      <c r="A72" s="15">
        <v>70</v>
      </c>
      <c r="B72" s="36" t="s">
        <v>461</v>
      </c>
      <c r="C72" s="37" t="s">
        <v>226</v>
      </c>
      <c r="D72" s="37" t="s">
        <v>111</v>
      </c>
      <c r="E72" s="25" t="str">
        <f>IFERROR(INDEX('SSA1'!E:E,MATCH(Total!B72,'SSA1'!B:B,0)),"-")</f>
        <v>-</v>
      </c>
      <c r="F72" s="25" t="str">
        <f>IFERROR(INDEX('SSA2'!E:E,MATCH(Total!B72,'SSA2'!B:B,0)),"-")</f>
        <v>-</v>
      </c>
      <c r="G72" s="15" t="str">
        <f>IFERROR(INDEX('SSA3'!E:E,MATCH(Total!B72,'SSA3'!B:B,0)),"-")</f>
        <v>-</v>
      </c>
      <c r="H72" s="15" t="str">
        <f>IFERROR(INDEX('SSA5'!E:E,MATCH(Total!B72,'SSA5'!B:B,0)),"-")</f>
        <v>-</v>
      </c>
      <c r="I72" s="15" t="str">
        <f>IFERROR(INDEX('SSA6'!E:E,MATCH(Total!B72,'SSA6'!B:B,0)),"-")</f>
        <v>-</v>
      </c>
      <c r="J72" s="15" t="str">
        <f>IFERROR(INDEX('SSA7'!E:E,MATCH(Total!B72,'SSA7'!B:B,0)),"-")</f>
        <v>-</v>
      </c>
    </row>
    <row r="73" spans="1:10" ht="22.2" customHeight="1" x14ac:dyDescent="0.55000000000000004">
      <c r="A73" s="15">
        <v>71</v>
      </c>
      <c r="B73" s="36" t="s">
        <v>462</v>
      </c>
      <c r="C73" s="37" t="s">
        <v>227</v>
      </c>
      <c r="D73" s="37" t="s">
        <v>4</v>
      </c>
      <c r="E73" s="25" t="str">
        <f>IFERROR(INDEX('SSA1'!E:E,MATCH(Total!B73,'SSA1'!B:B,0)),"-")</f>
        <v>-</v>
      </c>
      <c r="F73" s="25" t="str">
        <f>IFERROR(INDEX('SSA2'!E:E,MATCH(Total!B73,'SSA2'!B:B,0)),"-")</f>
        <v>-</v>
      </c>
      <c r="G73" s="15" t="str">
        <f>IFERROR(INDEX('SSA3'!E:E,MATCH(Total!B73,'SSA3'!B:B,0)),"-")</f>
        <v>-</v>
      </c>
      <c r="H73" s="15" t="str">
        <f>IFERROR(INDEX('SSA5'!E:E,MATCH(Total!B73,'SSA5'!B:B,0)),"-")</f>
        <v>-</v>
      </c>
      <c r="I73" s="15" t="str">
        <f>IFERROR(INDEX('SSA6'!E:E,MATCH(Total!B73,'SSA6'!B:B,0)),"-")</f>
        <v>-</v>
      </c>
      <c r="J73" s="15" t="str">
        <f>IFERROR(INDEX('SSA7'!E:E,MATCH(Total!B73,'SSA7'!B:B,0)),"-")</f>
        <v>-</v>
      </c>
    </row>
    <row r="74" spans="1:10" ht="22.2" customHeight="1" x14ac:dyDescent="0.55000000000000004">
      <c r="A74" s="15">
        <v>72</v>
      </c>
      <c r="B74" s="36" t="s">
        <v>463</v>
      </c>
      <c r="C74" s="37" t="s">
        <v>228</v>
      </c>
      <c r="D74" s="37" t="s">
        <v>25</v>
      </c>
      <c r="E74" s="25" t="str">
        <f>IFERROR(INDEX('SSA1'!E:E,MATCH(Total!B74,'SSA1'!B:B,0)),"-")</f>
        <v>-</v>
      </c>
      <c r="F74" s="25" t="str">
        <f>IFERROR(INDEX('SSA2'!E:E,MATCH(Total!B74,'SSA2'!B:B,0)),"-")</f>
        <v>-</v>
      </c>
      <c r="G74" s="15" t="str">
        <f>IFERROR(INDEX('SSA3'!E:E,MATCH(Total!B74,'SSA3'!B:B,0)),"-")</f>
        <v>-</v>
      </c>
      <c r="H74" s="15" t="str">
        <f>IFERROR(INDEX('SSA5'!E:E,MATCH(Total!B74,'SSA5'!B:B,0)),"-")</f>
        <v>-</v>
      </c>
      <c r="I74" s="15" t="str">
        <f>IFERROR(INDEX('SSA6'!E:E,MATCH(Total!B74,'SSA6'!B:B,0)),"-")</f>
        <v>-</v>
      </c>
      <c r="J74" s="15" t="str">
        <f>IFERROR(INDEX('SSA7'!E:E,MATCH(Total!B74,'SSA7'!B:B,0)),"-")</f>
        <v>-</v>
      </c>
    </row>
    <row r="75" spans="1:10" ht="22.2" customHeight="1" x14ac:dyDescent="0.55000000000000004">
      <c r="A75" s="15">
        <v>73</v>
      </c>
      <c r="B75" s="36" t="s">
        <v>464</v>
      </c>
      <c r="C75" s="37" t="s">
        <v>229</v>
      </c>
      <c r="D75" s="37" t="s">
        <v>25</v>
      </c>
      <c r="E75" s="25" t="str">
        <f>IFERROR(INDEX('SSA1'!E:E,MATCH(Total!B75,'SSA1'!B:B,0)),"-")</f>
        <v>-</v>
      </c>
      <c r="F75" s="25" t="str">
        <f>IFERROR(INDEX('SSA2'!E:E,MATCH(Total!B75,'SSA2'!B:B,0)),"-")</f>
        <v>-</v>
      </c>
      <c r="G75" s="15" t="str">
        <f>IFERROR(INDEX('SSA3'!E:E,MATCH(Total!B75,'SSA3'!B:B,0)),"-")</f>
        <v>-</v>
      </c>
      <c r="H75" s="15" t="str">
        <f>IFERROR(INDEX('SSA5'!E:E,MATCH(Total!B75,'SSA5'!B:B,0)),"-")</f>
        <v>-</v>
      </c>
      <c r="I75" s="15" t="str">
        <f>IFERROR(INDEX('SSA6'!E:E,MATCH(Total!B75,'SSA6'!B:B,0)),"-")</f>
        <v>-</v>
      </c>
      <c r="J75" s="15" t="str">
        <f>IFERROR(INDEX('SSA7'!E:E,MATCH(Total!B75,'SSA7'!B:B,0)),"-")</f>
        <v>-</v>
      </c>
    </row>
    <row r="76" spans="1:10" ht="22.2" customHeight="1" x14ac:dyDescent="0.55000000000000004">
      <c r="A76" s="15">
        <v>74</v>
      </c>
      <c r="B76" s="36" t="s">
        <v>144</v>
      </c>
      <c r="C76" s="37" t="s">
        <v>230</v>
      </c>
      <c r="D76" s="37" t="s">
        <v>25</v>
      </c>
      <c r="E76" s="25">
        <f>IFERROR(INDEX('SSA1'!E:E,MATCH(Total!B76,'SSA1'!B:B,0)),"-")</f>
        <v>60</v>
      </c>
      <c r="F76" s="25">
        <f>IFERROR(INDEX('SSA2'!E:E,MATCH(Total!B76,'SSA2'!B:B,0)),"-")</f>
        <v>9</v>
      </c>
      <c r="G76" s="15">
        <f>IFERROR(INDEX('SSA3'!E:E,MATCH(Total!B76,'SSA3'!B:B,0)),"-")</f>
        <v>63</v>
      </c>
      <c r="H76" s="15">
        <f>IFERROR(INDEX('SSA5'!E:E,MATCH(Total!B76,'SSA5'!B:B,0)),"-")</f>
        <v>118</v>
      </c>
      <c r="I76" s="15">
        <f>IFERROR(INDEX('SSA6'!E:E,MATCH(Total!B76,'SSA6'!B:B,0)),"-")</f>
        <v>57</v>
      </c>
      <c r="J76" s="15">
        <f>IFERROR(INDEX('SSA7'!E:E,MATCH(Total!B76,'SSA7'!B:B,0)),"-")</f>
        <v>27</v>
      </c>
    </row>
    <row r="77" spans="1:10" ht="22.2" customHeight="1" x14ac:dyDescent="0.55000000000000004">
      <c r="A77" s="15">
        <v>75</v>
      </c>
      <c r="B77" s="36" t="s">
        <v>465</v>
      </c>
      <c r="C77" s="37" t="s">
        <v>231</v>
      </c>
      <c r="D77" s="37" t="s">
        <v>25</v>
      </c>
      <c r="E77" s="25" t="str">
        <f>IFERROR(INDEX('SSA1'!E:E,MATCH(Total!B77,'SSA1'!B:B,0)),"-")</f>
        <v>-</v>
      </c>
      <c r="F77" s="25">
        <f>IFERROR(INDEX('SSA2'!E:E,MATCH(Total!B77,'SSA2'!B:B,0)),"-")</f>
        <v>1</v>
      </c>
      <c r="G77" s="15" t="str">
        <f>IFERROR(INDEX('SSA3'!E:E,MATCH(Total!B77,'SSA3'!B:B,0)),"-")</f>
        <v>-</v>
      </c>
      <c r="H77" s="15">
        <f>IFERROR(INDEX('SSA5'!E:E,MATCH(Total!B77,'SSA5'!B:B,0)),"-")</f>
        <v>2</v>
      </c>
      <c r="I77" s="15">
        <f>IFERROR(INDEX('SSA6'!E:E,MATCH(Total!B77,'SSA6'!B:B,0)),"-")</f>
        <v>2</v>
      </c>
      <c r="J77" s="15">
        <f>IFERROR(INDEX('SSA7'!E:E,MATCH(Total!B77,'SSA7'!B:B,0)),"-")</f>
        <v>3</v>
      </c>
    </row>
    <row r="78" spans="1:10" ht="22.2" customHeight="1" x14ac:dyDescent="0.55000000000000004">
      <c r="A78" s="15">
        <v>76</v>
      </c>
      <c r="B78" s="36" t="s">
        <v>466</v>
      </c>
      <c r="C78" s="37" t="s">
        <v>232</v>
      </c>
      <c r="D78" s="37" t="s">
        <v>25</v>
      </c>
      <c r="E78" s="25" t="str">
        <f>IFERROR(INDEX('SSA1'!E:E,MATCH(Total!B78,'SSA1'!B:B,0)),"-")</f>
        <v>-</v>
      </c>
      <c r="F78" s="25" t="str">
        <f>IFERROR(INDEX('SSA2'!E:E,MATCH(Total!B78,'SSA2'!B:B,0)),"-")</f>
        <v>-</v>
      </c>
      <c r="G78" s="15" t="str">
        <f>IFERROR(INDEX('SSA3'!E:E,MATCH(Total!B78,'SSA3'!B:B,0)),"-")</f>
        <v>-</v>
      </c>
      <c r="H78" s="15">
        <f>IFERROR(INDEX('SSA5'!E:E,MATCH(Total!B78,'SSA5'!B:B,0)),"-")</f>
        <v>3</v>
      </c>
      <c r="I78" s="15">
        <f>IFERROR(INDEX('SSA6'!E:E,MATCH(Total!B78,'SSA6'!B:B,0)),"-")</f>
        <v>11</v>
      </c>
      <c r="J78" s="15">
        <f>IFERROR(INDEX('SSA7'!E:E,MATCH(Total!B78,'SSA7'!B:B,0)),"-")</f>
        <v>3</v>
      </c>
    </row>
    <row r="79" spans="1:10" ht="22.2" customHeight="1" x14ac:dyDescent="0.55000000000000004">
      <c r="A79" s="15">
        <v>77</v>
      </c>
      <c r="B79" s="36" t="s">
        <v>467</v>
      </c>
      <c r="C79" s="37" t="s">
        <v>233</v>
      </c>
      <c r="D79" s="37" t="s">
        <v>25</v>
      </c>
      <c r="E79" s="25" t="str">
        <f>IFERROR(INDEX('SSA1'!E:E,MATCH(Total!B79,'SSA1'!B:B,0)),"-")</f>
        <v>-</v>
      </c>
      <c r="F79" s="25" t="str">
        <f>IFERROR(INDEX('SSA2'!E:E,MATCH(Total!B79,'SSA2'!B:B,0)),"-")</f>
        <v>-</v>
      </c>
      <c r="G79" s="15" t="str">
        <f>IFERROR(INDEX('SSA3'!E:E,MATCH(Total!B79,'SSA3'!B:B,0)),"-")</f>
        <v>-</v>
      </c>
      <c r="H79" s="15" t="str">
        <f>IFERROR(INDEX('SSA5'!E:E,MATCH(Total!B79,'SSA5'!B:B,0)),"-")</f>
        <v>-</v>
      </c>
      <c r="I79" s="15" t="str">
        <f>IFERROR(INDEX('SSA6'!E:E,MATCH(Total!B79,'SSA6'!B:B,0)),"-")</f>
        <v>-</v>
      </c>
      <c r="J79" s="15" t="str">
        <f>IFERROR(INDEX('SSA7'!E:E,MATCH(Total!B79,'SSA7'!B:B,0)),"-")</f>
        <v>-</v>
      </c>
    </row>
    <row r="80" spans="1:10" ht="22.2" customHeight="1" x14ac:dyDescent="0.55000000000000004">
      <c r="A80" s="15">
        <v>78</v>
      </c>
      <c r="B80" s="36" t="s">
        <v>468</v>
      </c>
      <c r="C80" s="37" t="s">
        <v>234</v>
      </c>
      <c r="D80" s="37" t="s">
        <v>25</v>
      </c>
      <c r="E80" s="25" t="str">
        <f>IFERROR(INDEX('SSA1'!E:E,MATCH(Total!B80,'SSA1'!B:B,0)),"-")</f>
        <v>-</v>
      </c>
      <c r="F80" s="25" t="str">
        <f>IFERROR(INDEX('SSA2'!E:E,MATCH(Total!B80,'SSA2'!B:B,0)),"-")</f>
        <v>-</v>
      </c>
      <c r="G80" s="15" t="str">
        <f>IFERROR(INDEX('SSA3'!E:E,MATCH(Total!B80,'SSA3'!B:B,0)),"-")</f>
        <v>-</v>
      </c>
      <c r="H80" s="15" t="str">
        <f>IFERROR(INDEX('SSA5'!E:E,MATCH(Total!B80,'SSA5'!B:B,0)),"-")</f>
        <v>-</v>
      </c>
      <c r="I80" s="15" t="str">
        <f>IFERROR(INDEX('SSA6'!E:E,MATCH(Total!B80,'SSA6'!B:B,0)),"-")</f>
        <v>-</v>
      </c>
      <c r="J80" s="15" t="str">
        <f>IFERROR(INDEX('SSA7'!E:E,MATCH(Total!B80,'SSA7'!B:B,0)),"-")</f>
        <v>-</v>
      </c>
    </row>
    <row r="81" spans="1:10" ht="22.2" customHeight="1" x14ac:dyDescent="0.55000000000000004">
      <c r="A81" s="15">
        <v>79</v>
      </c>
      <c r="B81" s="36" t="s">
        <v>469</v>
      </c>
      <c r="C81" s="37" t="s">
        <v>235</v>
      </c>
      <c r="D81" s="37" t="s">
        <v>25</v>
      </c>
      <c r="E81" s="25" t="str">
        <f>IFERROR(INDEX('SSA1'!E:E,MATCH(Total!B81,'SSA1'!B:B,0)),"-")</f>
        <v>-</v>
      </c>
      <c r="F81" s="25" t="str">
        <f>IFERROR(INDEX('SSA2'!E:E,MATCH(Total!B81,'SSA2'!B:B,0)),"-")</f>
        <v>-</v>
      </c>
      <c r="G81" s="15" t="str">
        <f>IFERROR(INDEX('SSA3'!E:E,MATCH(Total!B81,'SSA3'!B:B,0)),"-")</f>
        <v>-</v>
      </c>
      <c r="H81" s="15" t="str">
        <f>IFERROR(INDEX('SSA5'!E:E,MATCH(Total!B81,'SSA5'!B:B,0)),"-")</f>
        <v>-</v>
      </c>
      <c r="I81" s="15" t="str">
        <f>IFERROR(INDEX('SSA6'!E:E,MATCH(Total!B81,'SSA6'!B:B,0)),"-")</f>
        <v>-</v>
      </c>
      <c r="J81" s="15" t="str">
        <f>IFERROR(INDEX('SSA7'!E:E,MATCH(Total!B81,'SSA7'!B:B,0)),"-")</f>
        <v>-</v>
      </c>
    </row>
    <row r="82" spans="1:10" ht="22.2" customHeight="1" x14ac:dyDescent="0.55000000000000004">
      <c r="A82" s="15">
        <v>80</v>
      </c>
      <c r="B82" s="36" t="s">
        <v>470</v>
      </c>
      <c r="C82" s="37" t="s">
        <v>236</v>
      </c>
      <c r="D82" s="37" t="s">
        <v>25</v>
      </c>
      <c r="E82" s="25" t="str">
        <f>IFERROR(INDEX('SSA1'!E:E,MATCH(Total!B82,'SSA1'!B:B,0)),"-")</f>
        <v>-</v>
      </c>
      <c r="F82" s="25" t="str">
        <f>IFERROR(INDEX('SSA2'!E:E,MATCH(Total!B82,'SSA2'!B:B,0)),"-")</f>
        <v>-</v>
      </c>
      <c r="G82" s="15" t="str">
        <f>IFERROR(INDEX('SSA3'!E:E,MATCH(Total!B82,'SSA3'!B:B,0)),"-")</f>
        <v>-</v>
      </c>
      <c r="H82" s="15" t="str">
        <f>IFERROR(INDEX('SSA5'!E:E,MATCH(Total!B82,'SSA5'!B:B,0)),"-")</f>
        <v>-</v>
      </c>
      <c r="I82" s="15" t="str">
        <f>IFERROR(INDEX('SSA6'!E:E,MATCH(Total!B82,'SSA6'!B:B,0)),"-")</f>
        <v>-</v>
      </c>
      <c r="J82" s="15" t="str">
        <f>IFERROR(INDEX('SSA7'!E:E,MATCH(Total!B82,'SSA7'!B:B,0)),"-")</f>
        <v>-</v>
      </c>
    </row>
    <row r="83" spans="1:10" ht="22.2" customHeight="1" x14ac:dyDescent="0.55000000000000004">
      <c r="A83" s="15">
        <v>81</v>
      </c>
      <c r="B83" s="36" t="s">
        <v>471</v>
      </c>
      <c r="C83" s="37" t="s">
        <v>237</v>
      </c>
      <c r="D83" s="37" t="s">
        <v>19</v>
      </c>
      <c r="E83" s="25" t="str">
        <f>IFERROR(INDEX('SSA1'!E:E,MATCH(Total!B83,'SSA1'!B:B,0)),"-")</f>
        <v>-</v>
      </c>
      <c r="F83" s="25" t="str">
        <f>IFERROR(INDEX('SSA2'!E:E,MATCH(Total!B83,'SSA2'!B:B,0)),"-")</f>
        <v>-</v>
      </c>
      <c r="G83" s="15" t="str">
        <f>IFERROR(INDEX('SSA3'!E:E,MATCH(Total!B83,'SSA3'!B:B,0)),"-")</f>
        <v>-</v>
      </c>
      <c r="H83" s="15" t="str">
        <f>IFERROR(INDEX('SSA5'!E:E,MATCH(Total!B83,'SSA5'!B:B,0)),"-")</f>
        <v>-</v>
      </c>
      <c r="I83" s="15" t="str">
        <f>IFERROR(INDEX('SSA6'!E:E,MATCH(Total!B83,'SSA6'!B:B,0)),"-")</f>
        <v>-</v>
      </c>
      <c r="J83" s="15" t="str">
        <f>IFERROR(INDEX('SSA7'!E:E,MATCH(Total!B83,'SSA7'!B:B,0)),"-")</f>
        <v>-</v>
      </c>
    </row>
    <row r="84" spans="1:10" ht="22.2" customHeight="1" x14ac:dyDescent="0.55000000000000004">
      <c r="A84" s="15">
        <v>82</v>
      </c>
      <c r="B84" s="36" t="s">
        <v>472</v>
      </c>
      <c r="C84" s="37" t="s">
        <v>238</v>
      </c>
      <c r="D84" s="37" t="s">
        <v>4</v>
      </c>
      <c r="E84" s="25" t="str">
        <f>IFERROR(INDEX('SSA1'!E:E,MATCH(Total!B84,'SSA1'!B:B,0)),"-")</f>
        <v>-</v>
      </c>
      <c r="F84" s="25" t="str">
        <f>IFERROR(INDEX('SSA2'!E:E,MATCH(Total!B84,'SSA2'!B:B,0)),"-")</f>
        <v>-</v>
      </c>
      <c r="G84" s="15" t="str">
        <f>IFERROR(INDEX('SSA3'!E:E,MATCH(Total!B84,'SSA3'!B:B,0)),"-")</f>
        <v>-</v>
      </c>
      <c r="H84" s="15" t="str">
        <f>IFERROR(INDEX('SSA5'!E:E,MATCH(Total!B84,'SSA5'!B:B,0)),"-")</f>
        <v>-</v>
      </c>
      <c r="I84" s="15" t="str">
        <f>IFERROR(INDEX('SSA6'!E:E,MATCH(Total!B84,'SSA6'!B:B,0)),"-")</f>
        <v>-</v>
      </c>
      <c r="J84" s="15" t="str">
        <f>IFERROR(INDEX('SSA7'!E:E,MATCH(Total!B84,'SSA7'!B:B,0)),"-")</f>
        <v>-</v>
      </c>
    </row>
    <row r="85" spans="1:10" ht="22.2" customHeight="1" x14ac:dyDescent="0.55000000000000004">
      <c r="A85" s="15">
        <v>83</v>
      </c>
      <c r="B85" s="36" t="s">
        <v>89</v>
      </c>
      <c r="C85" s="37" t="s">
        <v>239</v>
      </c>
      <c r="D85" s="37" t="s">
        <v>19</v>
      </c>
      <c r="E85" s="25">
        <f>IFERROR(INDEX('SSA1'!E:E,MATCH(Total!B85,'SSA1'!B:B,0)),"-")</f>
        <v>336</v>
      </c>
      <c r="F85" s="25">
        <f>IFERROR(INDEX('SSA2'!E:E,MATCH(Total!B85,'SSA2'!B:B,0)),"-")</f>
        <v>19</v>
      </c>
      <c r="G85" s="15">
        <f>IFERROR(INDEX('SSA3'!E:E,MATCH(Total!B85,'SSA3'!B:B,0)),"-")</f>
        <v>90</v>
      </c>
      <c r="H85" s="15">
        <f>IFERROR(INDEX('SSA5'!E:E,MATCH(Total!B85,'SSA5'!B:B,0)),"-")</f>
        <v>164</v>
      </c>
      <c r="I85" s="15">
        <f>IFERROR(INDEX('SSA6'!E:E,MATCH(Total!B85,'SSA6'!B:B,0)),"-")</f>
        <v>60</v>
      </c>
      <c r="J85" s="15">
        <f>IFERROR(INDEX('SSA7'!E:E,MATCH(Total!B85,'SSA7'!B:B,0)),"-")</f>
        <v>134</v>
      </c>
    </row>
    <row r="86" spans="1:10" ht="22.2" customHeight="1" x14ac:dyDescent="0.55000000000000004">
      <c r="A86" s="15">
        <v>84</v>
      </c>
      <c r="B86" s="36" t="s">
        <v>473</v>
      </c>
      <c r="C86" s="37" t="s">
        <v>240</v>
      </c>
      <c r="D86" s="37" t="s">
        <v>25</v>
      </c>
      <c r="E86" s="25" t="str">
        <f>IFERROR(INDEX('SSA1'!E:E,MATCH(Total!B86,'SSA1'!B:B,0)),"-")</f>
        <v>-</v>
      </c>
      <c r="F86" s="25" t="str">
        <f>IFERROR(INDEX('SSA2'!E:E,MATCH(Total!B86,'SSA2'!B:B,0)),"-")</f>
        <v>-</v>
      </c>
      <c r="G86" s="15" t="str">
        <f>IFERROR(INDEX('SSA3'!E:E,MATCH(Total!B86,'SSA3'!B:B,0)),"-")</f>
        <v>-</v>
      </c>
      <c r="H86" s="15" t="str">
        <f>IFERROR(INDEX('SSA5'!E:E,MATCH(Total!B86,'SSA5'!B:B,0)),"-")</f>
        <v>-</v>
      </c>
      <c r="I86" s="15" t="str">
        <f>IFERROR(INDEX('SSA6'!E:E,MATCH(Total!B86,'SSA6'!B:B,0)),"-")</f>
        <v>-</v>
      </c>
      <c r="J86" s="15" t="str">
        <f>IFERROR(INDEX('SSA7'!E:E,MATCH(Total!B86,'SSA7'!B:B,0)),"-")</f>
        <v>-</v>
      </c>
    </row>
    <row r="87" spans="1:10" ht="22.2" customHeight="1" x14ac:dyDescent="0.55000000000000004">
      <c r="A87" s="15">
        <v>85</v>
      </c>
      <c r="B87" s="36" t="s">
        <v>150</v>
      </c>
      <c r="C87" s="37" t="s">
        <v>241</v>
      </c>
      <c r="D87" s="37" t="s">
        <v>25</v>
      </c>
      <c r="E87" s="25">
        <f>IFERROR(INDEX('SSA1'!E:E,MATCH(Total!B87,'SSA1'!B:B,0)),"-")</f>
        <v>159</v>
      </c>
      <c r="F87" s="25">
        <f>IFERROR(INDEX('SSA2'!E:E,MATCH(Total!B87,'SSA2'!B:B,0)),"-")</f>
        <v>4</v>
      </c>
      <c r="G87" s="15">
        <f>IFERROR(INDEX('SSA3'!E:E,MATCH(Total!B87,'SSA3'!B:B,0)),"-")</f>
        <v>83</v>
      </c>
      <c r="H87" s="15">
        <f>IFERROR(INDEX('SSA5'!E:E,MATCH(Total!B87,'SSA5'!B:B,0)),"-")</f>
        <v>12</v>
      </c>
      <c r="I87" s="15">
        <f>IFERROR(INDEX('SSA6'!E:E,MATCH(Total!B87,'SSA6'!B:B,0)),"-")</f>
        <v>12</v>
      </c>
      <c r="J87" s="15">
        <f>IFERROR(INDEX('SSA7'!E:E,MATCH(Total!B87,'SSA7'!B:B,0)),"-")</f>
        <v>18</v>
      </c>
    </row>
    <row r="88" spans="1:10" ht="22.2" customHeight="1" x14ac:dyDescent="0.55000000000000004">
      <c r="A88" s="15">
        <v>86</v>
      </c>
      <c r="B88" s="36" t="s">
        <v>124</v>
      </c>
      <c r="C88" s="37" t="s">
        <v>242</v>
      </c>
      <c r="D88" s="37" t="s">
        <v>111</v>
      </c>
      <c r="E88" s="25">
        <f>IFERROR(INDEX('SSA1'!E:E,MATCH(Total!B88,'SSA1'!B:B,0)),"-")</f>
        <v>25</v>
      </c>
      <c r="F88" s="25">
        <f>IFERROR(INDEX('SSA2'!E:E,MATCH(Total!B88,'SSA2'!B:B,0)),"-")</f>
        <v>4</v>
      </c>
      <c r="G88" s="15">
        <f>IFERROR(INDEX('SSA3'!E:E,MATCH(Total!B88,'SSA3'!B:B,0)),"-")</f>
        <v>38</v>
      </c>
      <c r="H88" s="15">
        <f>IFERROR(INDEX('SSA5'!E:E,MATCH(Total!B88,'SSA5'!B:B,0)),"-")</f>
        <v>54</v>
      </c>
      <c r="I88" s="15">
        <f>IFERROR(INDEX('SSA6'!E:E,MATCH(Total!B88,'SSA6'!B:B,0)),"-")</f>
        <v>23</v>
      </c>
      <c r="J88" s="15">
        <f>IFERROR(INDEX('SSA7'!E:E,MATCH(Total!B88,'SSA7'!B:B,0)),"-")</f>
        <v>21</v>
      </c>
    </row>
    <row r="89" spans="1:10" ht="22.2" customHeight="1" x14ac:dyDescent="0.55000000000000004">
      <c r="A89" s="15">
        <v>87</v>
      </c>
      <c r="B89" s="36" t="s">
        <v>474</v>
      </c>
      <c r="C89" s="37" t="s">
        <v>243</v>
      </c>
      <c r="D89" s="37" t="s">
        <v>19</v>
      </c>
      <c r="E89" s="25" t="str">
        <f>IFERROR(INDEX('SSA1'!E:E,MATCH(Total!B89,'SSA1'!B:B,0)),"-")</f>
        <v>-</v>
      </c>
      <c r="F89" s="25" t="str">
        <f>IFERROR(INDEX('SSA2'!E:E,MATCH(Total!B89,'SSA2'!B:B,0)),"-")</f>
        <v>-</v>
      </c>
      <c r="G89" s="15" t="str">
        <f>IFERROR(INDEX('SSA3'!E:E,MATCH(Total!B89,'SSA3'!B:B,0)),"-")</f>
        <v>-</v>
      </c>
      <c r="H89" s="15" t="str">
        <f>IFERROR(INDEX('SSA5'!E:E,MATCH(Total!B89,'SSA5'!B:B,0)),"-")</f>
        <v>-</v>
      </c>
      <c r="I89" s="15" t="str">
        <f>IFERROR(INDEX('SSA6'!E:E,MATCH(Total!B89,'SSA6'!B:B,0)),"-")</f>
        <v>-</v>
      </c>
      <c r="J89" s="15" t="str">
        <f>IFERROR(INDEX('SSA7'!E:E,MATCH(Total!B89,'SSA7'!B:B,0)),"-")</f>
        <v>-</v>
      </c>
    </row>
    <row r="90" spans="1:10" ht="22.2" customHeight="1" x14ac:dyDescent="0.55000000000000004">
      <c r="A90" s="15">
        <v>88</v>
      </c>
      <c r="B90" s="36" t="s">
        <v>138</v>
      </c>
      <c r="C90" s="37" t="s">
        <v>244</v>
      </c>
      <c r="D90" s="37" t="s">
        <v>19</v>
      </c>
      <c r="E90" s="25">
        <f>IFERROR(INDEX('SSA1'!E:E,MATCH(Total!B90,'SSA1'!B:B,0)),"-")</f>
        <v>24</v>
      </c>
      <c r="F90" s="25" t="str">
        <f>IFERROR(INDEX('SSA2'!E:E,MATCH(Total!B90,'SSA2'!B:B,0)),"-")</f>
        <v>-</v>
      </c>
      <c r="G90" s="15">
        <f>IFERROR(INDEX('SSA3'!E:E,MATCH(Total!B90,'SSA3'!B:B,0)),"-")</f>
        <v>19</v>
      </c>
      <c r="H90" s="15">
        <f>IFERROR(INDEX('SSA5'!E:E,MATCH(Total!B90,'SSA5'!B:B,0)),"-")</f>
        <v>105</v>
      </c>
      <c r="I90" s="15">
        <f>IFERROR(INDEX('SSA6'!E:E,MATCH(Total!B90,'SSA6'!B:B,0)),"-")</f>
        <v>17</v>
      </c>
      <c r="J90" s="15">
        <f>IFERROR(INDEX('SSA7'!E:E,MATCH(Total!B90,'SSA7'!B:B,0)),"-")</f>
        <v>88</v>
      </c>
    </row>
    <row r="91" spans="1:10" ht="22.2" customHeight="1" x14ac:dyDescent="0.55000000000000004">
      <c r="A91" s="15">
        <v>89</v>
      </c>
      <c r="B91" s="36" t="s">
        <v>75</v>
      </c>
      <c r="C91" s="37" t="s">
        <v>245</v>
      </c>
      <c r="D91" s="37" t="s">
        <v>4</v>
      </c>
      <c r="E91" s="25">
        <f>IFERROR(INDEX('SSA1'!E:E,MATCH(Total!B91,'SSA1'!B:B,0)),"-")</f>
        <v>111</v>
      </c>
      <c r="F91" s="25">
        <f>IFERROR(INDEX('SSA2'!E:E,MATCH(Total!B91,'SSA2'!B:B,0)),"-")</f>
        <v>17</v>
      </c>
      <c r="G91" s="15">
        <f>IFERROR(INDEX('SSA3'!E:E,MATCH(Total!B91,'SSA3'!B:B,0)),"-")</f>
        <v>63</v>
      </c>
      <c r="H91" s="15">
        <f>IFERROR(INDEX('SSA5'!E:E,MATCH(Total!B91,'SSA5'!B:B,0)),"-")</f>
        <v>90</v>
      </c>
      <c r="I91" s="15">
        <f>IFERROR(INDEX('SSA6'!E:E,MATCH(Total!B91,'SSA6'!B:B,0)),"-")</f>
        <v>42</v>
      </c>
      <c r="J91" s="15">
        <f>IFERROR(INDEX('SSA7'!E:E,MATCH(Total!B91,'SSA7'!B:B,0)),"-")</f>
        <v>6</v>
      </c>
    </row>
    <row r="92" spans="1:10" ht="22.2" customHeight="1" x14ac:dyDescent="0.55000000000000004">
      <c r="A92" s="15">
        <v>90</v>
      </c>
      <c r="B92" s="36" t="s">
        <v>142</v>
      </c>
      <c r="C92" s="37" t="s">
        <v>246</v>
      </c>
      <c r="D92" s="37" t="s">
        <v>19</v>
      </c>
      <c r="E92" s="25">
        <f>IFERROR(INDEX('SSA1'!E:E,MATCH(Total!B92,'SSA1'!B:B,0)),"-")</f>
        <v>3</v>
      </c>
      <c r="F92" s="25" t="str">
        <f>IFERROR(INDEX('SSA2'!E:E,MATCH(Total!B92,'SSA2'!B:B,0)),"-")</f>
        <v>-</v>
      </c>
      <c r="G92" s="15">
        <f>IFERROR(INDEX('SSA3'!E:E,MATCH(Total!B92,'SSA3'!B:B,0)),"-")</f>
        <v>12</v>
      </c>
      <c r="H92" s="15">
        <f>IFERROR(INDEX('SSA5'!E:E,MATCH(Total!B92,'SSA5'!B:B,0)),"-")</f>
        <v>12</v>
      </c>
      <c r="I92" s="15" t="str">
        <f>IFERROR(INDEX('SSA6'!E:E,MATCH(Total!B92,'SSA6'!B:B,0)),"-")</f>
        <v>-</v>
      </c>
      <c r="J92" s="15" t="str">
        <f>IFERROR(INDEX('SSA7'!E:E,MATCH(Total!B92,'SSA7'!B:B,0)),"-")</f>
        <v>-</v>
      </c>
    </row>
    <row r="93" spans="1:10" ht="22.2" customHeight="1" x14ac:dyDescent="0.55000000000000004">
      <c r="A93" s="15">
        <v>91</v>
      </c>
      <c r="B93" s="36" t="s">
        <v>475</v>
      </c>
      <c r="C93" s="37" t="s">
        <v>247</v>
      </c>
      <c r="D93" s="37" t="s">
        <v>4</v>
      </c>
      <c r="E93" s="25" t="str">
        <f>IFERROR(INDEX('SSA1'!E:E,MATCH(Total!B93,'SSA1'!B:B,0)),"-")</f>
        <v>-</v>
      </c>
      <c r="F93" s="25" t="str">
        <f>IFERROR(INDEX('SSA2'!E:E,MATCH(Total!B93,'SSA2'!B:B,0)),"-")</f>
        <v>-</v>
      </c>
      <c r="G93" s="15" t="str">
        <f>IFERROR(INDEX('SSA3'!E:E,MATCH(Total!B93,'SSA3'!B:B,0)),"-")</f>
        <v>-</v>
      </c>
      <c r="H93" s="15" t="str">
        <f>IFERROR(INDEX('SSA5'!E:E,MATCH(Total!B93,'SSA5'!B:B,0)),"-")</f>
        <v>-</v>
      </c>
      <c r="I93" s="15" t="str">
        <f>IFERROR(INDEX('SSA6'!E:E,MATCH(Total!B93,'SSA6'!B:B,0)),"-")</f>
        <v>-</v>
      </c>
      <c r="J93" s="15" t="str">
        <f>IFERROR(INDEX('SSA7'!E:E,MATCH(Total!B93,'SSA7'!B:B,0)),"-")</f>
        <v>-</v>
      </c>
    </row>
    <row r="94" spans="1:10" ht="22.2" customHeight="1" x14ac:dyDescent="0.55000000000000004">
      <c r="A94" s="15">
        <v>92</v>
      </c>
      <c r="B94" s="36" t="s">
        <v>476</v>
      </c>
      <c r="C94" s="37" t="s">
        <v>248</v>
      </c>
      <c r="D94" s="37" t="s">
        <v>4</v>
      </c>
      <c r="E94" s="25" t="str">
        <f>IFERROR(INDEX('SSA1'!E:E,MATCH(Total!B94,'SSA1'!B:B,0)),"-")</f>
        <v>-</v>
      </c>
      <c r="F94" s="25" t="str">
        <f>IFERROR(INDEX('SSA2'!E:E,MATCH(Total!B94,'SSA2'!B:B,0)),"-")</f>
        <v>-</v>
      </c>
      <c r="G94" s="15" t="str">
        <f>IFERROR(INDEX('SSA3'!E:E,MATCH(Total!B94,'SSA3'!B:B,0)),"-")</f>
        <v>-</v>
      </c>
      <c r="H94" s="15" t="str">
        <f>IFERROR(INDEX('SSA5'!E:E,MATCH(Total!B94,'SSA5'!B:B,0)),"-")</f>
        <v>-</v>
      </c>
      <c r="I94" s="15" t="str">
        <f>IFERROR(INDEX('SSA6'!E:E,MATCH(Total!B94,'SSA6'!B:B,0)),"-")</f>
        <v>-</v>
      </c>
      <c r="J94" s="15" t="str">
        <f>IFERROR(INDEX('SSA7'!E:E,MATCH(Total!B94,'SSA7'!B:B,0)),"-")</f>
        <v>-</v>
      </c>
    </row>
    <row r="95" spans="1:10" ht="22.2" customHeight="1" x14ac:dyDescent="0.55000000000000004">
      <c r="A95" s="15">
        <v>93</v>
      </c>
      <c r="B95" s="36" t="s">
        <v>128</v>
      </c>
      <c r="C95" s="37" t="s">
        <v>249</v>
      </c>
      <c r="D95" s="37" t="s">
        <v>4</v>
      </c>
      <c r="E95" s="25">
        <f>IFERROR(INDEX('SSA1'!E:E,MATCH(Total!B95,'SSA1'!B:B,0)),"-")</f>
        <v>78</v>
      </c>
      <c r="F95" s="25">
        <f>IFERROR(INDEX('SSA2'!E:E,MATCH(Total!B95,'SSA2'!B:B,0)),"-")</f>
        <v>8</v>
      </c>
      <c r="G95" s="15">
        <f>IFERROR(INDEX('SSA3'!E:E,MATCH(Total!B95,'SSA3'!B:B,0)),"-")</f>
        <v>81</v>
      </c>
      <c r="H95" s="15">
        <f>IFERROR(INDEX('SSA5'!E:E,MATCH(Total!B95,'SSA5'!B:B,0)),"-")</f>
        <v>72</v>
      </c>
      <c r="I95" s="15">
        <f>IFERROR(INDEX('SSA6'!E:E,MATCH(Total!B95,'SSA6'!B:B,0)),"-")</f>
        <v>20</v>
      </c>
      <c r="J95" s="15">
        <f>IFERROR(INDEX('SSA7'!E:E,MATCH(Total!B95,'SSA7'!B:B,0)),"-")</f>
        <v>65</v>
      </c>
    </row>
    <row r="96" spans="1:10" ht="22.2" customHeight="1" x14ac:dyDescent="0.55000000000000004">
      <c r="A96" s="15">
        <v>94</v>
      </c>
      <c r="B96" s="36" t="s">
        <v>146</v>
      </c>
      <c r="C96" s="37" t="s">
        <v>250</v>
      </c>
      <c r="D96" s="37" t="s">
        <v>19</v>
      </c>
      <c r="E96" s="25">
        <f>IFERROR(INDEX('SSA1'!E:E,MATCH(Total!B96,'SSA1'!B:B,0)),"-")</f>
        <v>73</v>
      </c>
      <c r="F96" s="25">
        <f>IFERROR(INDEX('SSA2'!E:E,MATCH(Total!B96,'SSA2'!B:B,0)),"-")</f>
        <v>2</v>
      </c>
      <c r="G96" s="15">
        <f>IFERROR(INDEX('SSA3'!E:E,MATCH(Total!B96,'SSA3'!B:B,0)),"-")</f>
        <v>80</v>
      </c>
      <c r="H96" s="15">
        <f>IFERROR(INDEX('SSA5'!E:E,MATCH(Total!B96,'SSA5'!B:B,0)),"-")</f>
        <v>360</v>
      </c>
      <c r="I96" s="15">
        <f>IFERROR(INDEX('SSA6'!E:E,MATCH(Total!B96,'SSA6'!B:B,0)),"-")</f>
        <v>6</v>
      </c>
      <c r="J96" s="15">
        <f>IFERROR(INDEX('SSA7'!E:E,MATCH(Total!B96,'SSA7'!B:B,0)),"-")</f>
        <v>103</v>
      </c>
    </row>
    <row r="97" spans="1:10" ht="22.2" customHeight="1" x14ac:dyDescent="0.55000000000000004">
      <c r="A97" s="15">
        <v>95</v>
      </c>
      <c r="B97" s="36" t="s">
        <v>477</v>
      </c>
      <c r="C97" s="37" t="s">
        <v>251</v>
      </c>
      <c r="D97" s="37" t="s">
        <v>25</v>
      </c>
      <c r="E97" s="25" t="str">
        <f>IFERROR(INDEX('SSA1'!E:E,MATCH(Total!B97,'SSA1'!B:B,0)),"-")</f>
        <v>-</v>
      </c>
      <c r="F97" s="25" t="str">
        <f>IFERROR(INDEX('SSA2'!E:E,MATCH(Total!B97,'SSA2'!B:B,0)),"-")</f>
        <v>-</v>
      </c>
      <c r="G97" s="15" t="str">
        <f>IFERROR(INDEX('SSA3'!E:E,MATCH(Total!B97,'SSA3'!B:B,0)),"-")</f>
        <v>-</v>
      </c>
      <c r="H97" s="15" t="str">
        <f>IFERROR(INDEX('SSA5'!E:E,MATCH(Total!B97,'SSA5'!B:B,0)),"-")</f>
        <v>-</v>
      </c>
      <c r="I97" s="15">
        <f>IFERROR(INDEX('SSA6'!E:E,MATCH(Total!B97,'SSA6'!B:B,0)),"-")</f>
        <v>1</v>
      </c>
      <c r="J97" s="15" t="str">
        <f>IFERROR(INDEX('SSA7'!E:E,MATCH(Total!B97,'SSA7'!B:B,0)),"-")</f>
        <v>-</v>
      </c>
    </row>
    <row r="98" spans="1:10" ht="22.2" customHeight="1" x14ac:dyDescent="0.55000000000000004">
      <c r="A98" s="15">
        <v>96</v>
      </c>
      <c r="B98" s="36" t="s">
        <v>478</v>
      </c>
      <c r="C98" s="37" t="s">
        <v>252</v>
      </c>
      <c r="D98" s="37" t="s">
        <v>25</v>
      </c>
      <c r="E98" s="25" t="str">
        <f>IFERROR(INDEX('SSA1'!E:E,MATCH(Total!B98,'SSA1'!B:B,0)),"-")</f>
        <v>-</v>
      </c>
      <c r="F98" s="25" t="str">
        <f>IFERROR(INDEX('SSA2'!E:E,MATCH(Total!B98,'SSA2'!B:B,0)),"-")</f>
        <v>-</v>
      </c>
      <c r="G98" s="15" t="str">
        <f>IFERROR(INDEX('SSA3'!E:E,MATCH(Total!B98,'SSA3'!B:B,0)),"-")</f>
        <v>-</v>
      </c>
      <c r="H98" s="15">
        <f>IFERROR(INDEX('SSA5'!E:E,MATCH(Total!B98,'SSA5'!B:B,0)),"-")</f>
        <v>3</v>
      </c>
      <c r="I98" s="15" t="str">
        <f>IFERROR(INDEX('SSA6'!E:E,MATCH(Total!B98,'SSA6'!B:B,0)),"-")</f>
        <v>-</v>
      </c>
      <c r="J98" s="15" t="str">
        <f>IFERROR(INDEX('SSA7'!E:E,MATCH(Total!B98,'SSA7'!B:B,0)),"-")</f>
        <v>-</v>
      </c>
    </row>
    <row r="99" spans="1:10" ht="22.2" customHeight="1" x14ac:dyDescent="0.55000000000000004">
      <c r="A99" s="15">
        <v>97</v>
      </c>
      <c r="B99" s="36" t="s">
        <v>479</v>
      </c>
      <c r="C99" s="37" t="s">
        <v>253</v>
      </c>
      <c r="D99" s="37" t="s">
        <v>19</v>
      </c>
      <c r="E99" s="25" t="str">
        <f>IFERROR(INDEX('SSA1'!E:E,MATCH(Total!B99,'SSA1'!B:B,0)),"-")</f>
        <v>-</v>
      </c>
      <c r="F99" s="25" t="str">
        <f>IFERROR(INDEX('SSA2'!E:E,MATCH(Total!B99,'SSA2'!B:B,0)),"-")</f>
        <v>-</v>
      </c>
      <c r="G99" s="15" t="str">
        <f>IFERROR(INDEX('SSA3'!E:E,MATCH(Total!B99,'SSA3'!B:B,0)),"-")</f>
        <v>-</v>
      </c>
      <c r="H99" s="15" t="str">
        <f>IFERROR(INDEX('SSA5'!E:E,MATCH(Total!B99,'SSA5'!B:B,0)),"-")</f>
        <v>-</v>
      </c>
      <c r="I99" s="15" t="str">
        <f>IFERROR(INDEX('SSA6'!E:E,MATCH(Total!B99,'SSA6'!B:B,0)),"-")</f>
        <v>-</v>
      </c>
      <c r="J99" s="15" t="str">
        <f>IFERROR(INDEX('SSA7'!E:E,MATCH(Total!B99,'SSA7'!B:B,0)),"-")</f>
        <v>-</v>
      </c>
    </row>
    <row r="100" spans="1:10" ht="22.2" customHeight="1" x14ac:dyDescent="0.55000000000000004">
      <c r="A100" s="15">
        <v>98</v>
      </c>
      <c r="B100" s="36" t="s">
        <v>136</v>
      </c>
      <c r="C100" s="37" t="s">
        <v>254</v>
      </c>
      <c r="D100" s="37" t="s">
        <v>66</v>
      </c>
      <c r="E100" s="25">
        <f>IFERROR(INDEX('SSA1'!E:E,MATCH(Total!B100,'SSA1'!B:B,0)),"-")</f>
        <v>15</v>
      </c>
      <c r="F100" s="25">
        <f>IFERROR(INDEX('SSA2'!E:E,MATCH(Total!B100,'SSA2'!B:B,0)),"-")</f>
        <v>2</v>
      </c>
      <c r="G100" s="15">
        <f>IFERROR(INDEX('SSA3'!E:E,MATCH(Total!B100,'SSA3'!B:B,0)),"-")</f>
        <v>78</v>
      </c>
      <c r="H100" s="15">
        <f>IFERROR(INDEX('SSA5'!E:E,MATCH(Total!B100,'SSA5'!B:B,0)),"-")</f>
        <v>3</v>
      </c>
      <c r="I100" s="15">
        <f>IFERROR(INDEX('SSA6'!E:E,MATCH(Total!B100,'SSA6'!B:B,0)),"-")</f>
        <v>18</v>
      </c>
      <c r="J100" s="15">
        <f>IFERROR(INDEX('SSA7'!E:E,MATCH(Total!B100,'SSA7'!B:B,0)),"-")</f>
        <v>12</v>
      </c>
    </row>
    <row r="101" spans="1:10" ht="22.2" customHeight="1" x14ac:dyDescent="0.55000000000000004">
      <c r="A101" s="15">
        <v>99</v>
      </c>
      <c r="B101" s="36" t="s">
        <v>480</v>
      </c>
      <c r="C101" s="37" t="s">
        <v>255</v>
      </c>
      <c r="D101" s="37" t="s">
        <v>111</v>
      </c>
      <c r="E101" s="25" t="str">
        <f>IFERROR(INDEX('SSA1'!E:E,MATCH(Total!B101,'SSA1'!B:B,0)),"-")</f>
        <v>-</v>
      </c>
      <c r="F101" s="25" t="str">
        <f>IFERROR(INDEX('SSA2'!E:E,MATCH(Total!B101,'SSA2'!B:B,0)),"-")</f>
        <v>-</v>
      </c>
      <c r="G101" s="15" t="str">
        <f>IFERROR(INDEX('SSA3'!E:E,MATCH(Total!B101,'SSA3'!B:B,0)),"-")</f>
        <v>-</v>
      </c>
      <c r="H101" s="15" t="str">
        <f>IFERROR(INDEX('SSA5'!E:E,MATCH(Total!B101,'SSA5'!B:B,0)),"-")</f>
        <v>-</v>
      </c>
      <c r="I101" s="15" t="str">
        <f>IFERROR(INDEX('SSA6'!E:E,MATCH(Total!B101,'SSA6'!B:B,0)),"-")</f>
        <v>-</v>
      </c>
      <c r="J101" s="15" t="str">
        <f>IFERROR(INDEX('SSA7'!E:E,MATCH(Total!B101,'SSA7'!B:B,0)),"-")</f>
        <v>-</v>
      </c>
    </row>
    <row r="102" spans="1:10" ht="22.2" customHeight="1" x14ac:dyDescent="0.55000000000000004">
      <c r="A102" s="15">
        <v>100</v>
      </c>
      <c r="B102" s="36" t="s">
        <v>50</v>
      </c>
      <c r="C102" s="37" t="s">
        <v>256</v>
      </c>
      <c r="D102" s="37" t="s">
        <v>19</v>
      </c>
      <c r="E102" s="25">
        <f>IFERROR(INDEX('SSA1'!E:E,MATCH(Total!B102,'SSA1'!B:B,0)),"-")</f>
        <v>180</v>
      </c>
      <c r="F102" s="25">
        <f>IFERROR(INDEX('SSA2'!E:E,MATCH(Total!B102,'SSA2'!B:B,0)),"-")</f>
        <v>9</v>
      </c>
      <c r="G102" s="15">
        <f>IFERROR(INDEX('SSA3'!E:E,MATCH(Total!B102,'SSA3'!B:B,0)),"-")</f>
        <v>81</v>
      </c>
      <c r="H102" s="15">
        <f>IFERROR(INDEX('SSA5'!E:E,MATCH(Total!B102,'SSA5'!B:B,0)),"-")</f>
        <v>115</v>
      </c>
      <c r="I102" s="15">
        <f>IFERROR(INDEX('SSA6'!E:E,MATCH(Total!B102,'SSA6'!B:B,0)),"-")</f>
        <v>36</v>
      </c>
      <c r="J102" s="15">
        <f>IFERROR(INDEX('SSA7'!E:E,MATCH(Total!B102,'SSA7'!B:B,0)),"-")</f>
        <v>83</v>
      </c>
    </row>
    <row r="103" spans="1:10" ht="22.2" customHeight="1" x14ac:dyDescent="0.55000000000000004">
      <c r="A103" s="15">
        <v>101</v>
      </c>
      <c r="B103" s="36" t="s">
        <v>481</v>
      </c>
      <c r="C103" s="37" t="s">
        <v>257</v>
      </c>
      <c r="D103" s="37" t="s">
        <v>22</v>
      </c>
      <c r="E103" s="25" t="str">
        <f>IFERROR(INDEX('SSA1'!E:E,MATCH(Total!B103,'SSA1'!B:B,0)),"-")</f>
        <v>-</v>
      </c>
      <c r="F103" s="25" t="str">
        <f>IFERROR(INDEX('SSA2'!E:E,MATCH(Total!B103,'SSA2'!B:B,0)),"-")</f>
        <v>-</v>
      </c>
      <c r="G103" s="15" t="str">
        <f>IFERROR(INDEX('SSA3'!E:E,MATCH(Total!B103,'SSA3'!B:B,0)),"-")</f>
        <v>-</v>
      </c>
      <c r="H103" s="15" t="str">
        <f>IFERROR(INDEX('SSA5'!E:E,MATCH(Total!B103,'SSA5'!B:B,0)),"-")</f>
        <v>-</v>
      </c>
      <c r="I103" s="15" t="str">
        <f>IFERROR(INDEX('SSA6'!E:E,MATCH(Total!B103,'SSA6'!B:B,0)),"-")</f>
        <v>-</v>
      </c>
      <c r="J103" s="15" t="str">
        <f>IFERROR(INDEX('SSA7'!E:E,MATCH(Total!B103,'SSA7'!B:B,0)),"-")</f>
        <v>-</v>
      </c>
    </row>
    <row r="104" spans="1:10" ht="22.2" customHeight="1" x14ac:dyDescent="0.55000000000000004">
      <c r="A104" s="15">
        <v>102</v>
      </c>
      <c r="B104" s="36" t="s">
        <v>482</v>
      </c>
      <c r="C104" s="37" t="s">
        <v>258</v>
      </c>
      <c r="D104" s="37" t="s">
        <v>25</v>
      </c>
      <c r="E104" s="25" t="str">
        <f>IFERROR(INDEX('SSA1'!E:E,MATCH(Total!B104,'SSA1'!B:B,0)),"-")</f>
        <v>-</v>
      </c>
      <c r="F104" s="25" t="str">
        <f>IFERROR(INDEX('SSA2'!E:E,MATCH(Total!B104,'SSA2'!B:B,0)),"-")</f>
        <v>-</v>
      </c>
      <c r="G104" s="15" t="str">
        <f>IFERROR(INDEX('SSA3'!E:E,MATCH(Total!B104,'SSA3'!B:B,0)),"-")</f>
        <v>-</v>
      </c>
      <c r="H104" s="15" t="str">
        <f>IFERROR(INDEX('SSA5'!E:E,MATCH(Total!B104,'SSA5'!B:B,0)),"-")</f>
        <v>-</v>
      </c>
      <c r="I104" s="15" t="str">
        <f>IFERROR(INDEX('SSA6'!E:E,MATCH(Total!B104,'SSA6'!B:B,0)),"-")</f>
        <v>-</v>
      </c>
      <c r="J104" s="15" t="str">
        <f>IFERROR(INDEX('SSA7'!E:E,MATCH(Total!B104,'SSA7'!B:B,0)),"-")</f>
        <v>-</v>
      </c>
    </row>
    <row r="105" spans="1:10" ht="22.2" customHeight="1" x14ac:dyDescent="0.55000000000000004">
      <c r="A105" s="15">
        <v>103</v>
      </c>
      <c r="B105" s="36" t="s">
        <v>483</v>
      </c>
      <c r="C105" s="37" t="s">
        <v>259</v>
      </c>
      <c r="D105" s="37" t="s">
        <v>19</v>
      </c>
      <c r="E105" s="25" t="str">
        <f>IFERROR(INDEX('SSA1'!E:E,MATCH(Total!B105,'SSA1'!B:B,0)),"-")</f>
        <v>-</v>
      </c>
      <c r="F105" s="25" t="str">
        <f>IFERROR(INDEX('SSA2'!E:E,MATCH(Total!B105,'SSA2'!B:B,0)),"-")</f>
        <v>-</v>
      </c>
      <c r="G105" s="15" t="str">
        <f>IFERROR(INDEX('SSA3'!E:E,MATCH(Total!B105,'SSA3'!B:B,0)),"-")</f>
        <v>-</v>
      </c>
      <c r="H105" s="15" t="str">
        <f>IFERROR(INDEX('SSA5'!E:E,MATCH(Total!B105,'SSA5'!B:B,0)),"-")</f>
        <v>-</v>
      </c>
      <c r="I105" s="15" t="str">
        <f>IFERROR(INDEX('SSA6'!E:E,MATCH(Total!B105,'SSA6'!B:B,0)),"-")</f>
        <v>-</v>
      </c>
      <c r="J105" s="15" t="str">
        <f>IFERROR(INDEX('SSA7'!E:E,MATCH(Total!B105,'SSA7'!B:B,0)),"-")</f>
        <v>-</v>
      </c>
    </row>
    <row r="106" spans="1:10" ht="22.2" customHeight="1" x14ac:dyDescent="0.55000000000000004">
      <c r="A106" s="15">
        <v>104</v>
      </c>
      <c r="B106" s="36" t="s">
        <v>484</v>
      </c>
      <c r="C106" s="37" t="s">
        <v>260</v>
      </c>
      <c r="D106" s="37" t="s">
        <v>19</v>
      </c>
      <c r="E106" s="25" t="str">
        <f>IFERROR(INDEX('SSA1'!E:E,MATCH(Total!B106,'SSA1'!B:B,0)),"-")</f>
        <v>-</v>
      </c>
      <c r="F106" s="25" t="str">
        <f>IFERROR(INDEX('SSA2'!E:E,MATCH(Total!B106,'SSA2'!B:B,0)),"-")</f>
        <v>-</v>
      </c>
      <c r="G106" s="15" t="str">
        <f>IFERROR(INDEX('SSA3'!E:E,MATCH(Total!B106,'SSA3'!B:B,0)),"-")</f>
        <v>-</v>
      </c>
      <c r="H106" s="15" t="str">
        <f>IFERROR(INDEX('SSA5'!E:E,MATCH(Total!B106,'SSA5'!B:B,0)),"-")</f>
        <v>-</v>
      </c>
      <c r="I106" s="15" t="str">
        <f>IFERROR(INDEX('SSA6'!E:E,MATCH(Total!B106,'SSA6'!B:B,0)),"-")</f>
        <v>-</v>
      </c>
      <c r="J106" s="15" t="str">
        <f>IFERROR(INDEX('SSA7'!E:E,MATCH(Total!B106,'SSA7'!B:B,0)),"-")</f>
        <v>-</v>
      </c>
    </row>
    <row r="107" spans="1:10" ht="22.2" customHeight="1" x14ac:dyDescent="0.55000000000000004">
      <c r="A107" s="15">
        <v>105</v>
      </c>
      <c r="B107" s="36" t="s">
        <v>485</v>
      </c>
      <c r="C107" s="37" t="s">
        <v>261</v>
      </c>
      <c r="D107" s="37" t="s">
        <v>19</v>
      </c>
      <c r="E107" s="25" t="str">
        <f>IFERROR(INDEX('SSA1'!E:E,MATCH(Total!B107,'SSA1'!B:B,0)),"-")</f>
        <v>-</v>
      </c>
      <c r="F107" s="25" t="str">
        <f>IFERROR(INDEX('SSA2'!E:E,MATCH(Total!B107,'SSA2'!B:B,0)),"-")</f>
        <v>-</v>
      </c>
      <c r="G107" s="15" t="str">
        <f>IFERROR(INDEX('SSA3'!E:E,MATCH(Total!B107,'SSA3'!B:B,0)),"-")</f>
        <v>-</v>
      </c>
      <c r="H107" s="15" t="str">
        <f>IFERROR(INDEX('SSA5'!E:E,MATCH(Total!B107,'SSA5'!B:B,0)),"-")</f>
        <v>-</v>
      </c>
      <c r="I107" s="15" t="str">
        <f>IFERROR(INDEX('SSA6'!E:E,MATCH(Total!B107,'SSA6'!B:B,0)),"-")</f>
        <v>-</v>
      </c>
      <c r="J107" s="15" t="str">
        <f>IFERROR(INDEX('SSA7'!E:E,MATCH(Total!B107,'SSA7'!B:B,0)),"-")</f>
        <v>-</v>
      </c>
    </row>
    <row r="108" spans="1:10" ht="22.2" customHeight="1" x14ac:dyDescent="0.55000000000000004">
      <c r="A108" s="15">
        <v>106</v>
      </c>
      <c r="B108" s="36" t="s">
        <v>486</v>
      </c>
      <c r="C108" s="37" t="s">
        <v>262</v>
      </c>
      <c r="D108" s="37" t="s">
        <v>4</v>
      </c>
      <c r="E108" s="25" t="str">
        <f>IFERROR(INDEX('SSA1'!E:E,MATCH(Total!B108,'SSA1'!B:B,0)),"-")</f>
        <v>-</v>
      </c>
      <c r="F108" s="25" t="str">
        <f>IFERROR(INDEX('SSA2'!E:E,MATCH(Total!B108,'SSA2'!B:B,0)),"-")</f>
        <v>-</v>
      </c>
      <c r="G108" s="15" t="str">
        <f>IFERROR(INDEX('SSA3'!E:E,MATCH(Total!B108,'SSA3'!B:B,0)),"-")</f>
        <v>-</v>
      </c>
      <c r="H108" s="15" t="str">
        <f>IFERROR(INDEX('SSA5'!E:E,MATCH(Total!B108,'SSA5'!B:B,0)),"-")</f>
        <v>-</v>
      </c>
      <c r="I108" s="15" t="str">
        <f>IFERROR(INDEX('SSA6'!E:E,MATCH(Total!B108,'SSA6'!B:B,0)),"-")</f>
        <v>-</v>
      </c>
      <c r="J108" s="15" t="str">
        <f>IFERROR(INDEX('SSA7'!E:E,MATCH(Total!B108,'SSA7'!B:B,0)),"-")</f>
        <v>-</v>
      </c>
    </row>
    <row r="109" spans="1:10" ht="22.2" customHeight="1" x14ac:dyDescent="0.55000000000000004">
      <c r="A109" s="15">
        <v>107</v>
      </c>
      <c r="B109" s="36" t="s">
        <v>79</v>
      </c>
      <c r="C109" s="37" t="s">
        <v>263</v>
      </c>
      <c r="D109" s="37" t="s">
        <v>4</v>
      </c>
      <c r="E109" s="25">
        <f>IFERROR(INDEX('SSA1'!E:E,MATCH(Total!B109,'SSA1'!B:B,0)),"-")</f>
        <v>23</v>
      </c>
      <c r="F109" s="25">
        <f>IFERROR(INDEX('SSA2'!E:E,MATCH(Total!B109,'SSA2'!B:B,0)),"-")</f>
        <v>1</v>
      </c>
      <c r="G109" s="15">
        <f>IFERROR(INDEX('SSA3'!E:E,MATCH(Total!B109,'SSA3'!B:B,0)),"-")</f>
        <v>26</v>
      </c>
      <c r="H109" s="15">
        <f>IFERROR(INDEX('SSA5'!E:E,MATCH(Total!B109,'SSA5'!B:B,0)),"-")</f>
        <v>26</v>
      </c>
      <c r="I109" s="15">
        <f>IFERROR(INDEX('SSA6'!E:E,MATCH(Total!B109,'SSA6'!B:B,0)),"-")</f>
        <v>6</v>
      </c>
      <c r="J109" s="15">
        <f>IFERROR(INDEX('SSA7'!E:E,MATCH(Total!B109,'SSA7'!B:B,0)),"-")</f>
        <v>7</v>
      </c>
    </row>
    <row r="110" spans="1:10" ht="22.2" customHeight="1" x14ac:dyDescent="0.55000000000000004">
      <c r="A110" s="15">
        <v>108</v>
      </c>
      <c r="B110" s="36" t="s">
        <v>46</v>
      </c>
      <c r="C110" s="37" t="s">
        <v>264</v>
      </c>
      <c r="D110" s="37" t="s">
        <v>4</v>
      </c>
      <c r="E110" s="25">
        <f>IFERROR(INDEX('SSA1'!E:E,MATCH(Total!B110,'SSA1'!B:B,0)),"-")</f>
        <v>57</v>
      </c>
      <c r="F110" s="25">
        <f>IFERROR(INDEX('SSA2'!E:E,MATCH(Total!B110,'SSA2'!B:B,0)),"-")</f>
        <v>3</v>
      </c>
      <c r="G110" s="15">
        <f>IFERROR(INDEX('SSA3'!E:E,MATCH(Total!B110,'SSA3'!B:B,0)),"-")</f>
        <v>52</v>
      </c>
      <c r="H110" s="15">
        <f>IFERROR(INDEX('SSA5'!E:E,MATCH(Total!B110,'SSA5'!B:B,0)),"-")</f>
        <v>67</v>
      </c>
      <c r="I110" s="15">
        <f>IFERROR(INDEX('SSA6'!E:E,MATCH(Total!B110,'SSA6'!B:B,0)),"-")</f>
        <v>31</v>
      </c>
      <c r="J110" s="15">
        <f>IFERROR(INDEX('SSA7'!E:E,MATCH(Total!B110,'SSA7'!B:B,0)),"-")</f>
        <v>19</v>
      </c>
    </row>
    <row r="111" spans="1:10" ht="22.2" customHeight="1" x14ac:dyDescent="0.55000000000000004">
      <c r="A111" s="15">
        <v>109</v>
      </c>
      <c r="B111" s="36" t="s">
        <v>487</v>
      </c>
      <c r="C111" s="37" t="s">
        <v>265</v>
      </c>
      <c r="D111" s="37" t="s">
        <v>19</v>
      </c>
      <c r="E111" s="25" t="str">
        <f>IFERROR(INDEX('SSA1'!E:E,MATCH(Total!B111,'SSA1'!B:B,0)),"-")</f>
        <v>-</v>
      </c>
      <c r="F111" s="25" t="str">
        <f>IFERROR(INDEX('SSA2'!E:E,MATCH(Total!B111,'SSA2'!B:B,0)),"-")</f>
        <v>-</v>
      </c>
      <c r="G111" s="15" t="str">
        <f>IFERROR(INDEX('SSA3'!E:E,MATCH(Total!B111,'SSA3'!B:B,0)),"-")</f>
        <v>-</v>
      </c>
      <c r="H111" s="15" t="str">
        <f>IFERROR(INDEX('SSA5'!E:E,MATCH(Total!B111,'SSA5'!B:B,0)),"-")</f>
        <v>-</v>
      </c>
      <c r="I111" s="15" t="str">
        <f>IFERROR(INDEX('SSA6'!E:E,MATCH(Total!B111,'SSA6'!B:B,0)),"-")</f>
        <v>-</v>
      </c>
      <c r="J111" s="15" t="str">
        <f>IFERROR(INDEX('SSA7'!E:E,MATCH(Total!B111,'SSA7'!B:B,0)),"-")</f>
        <v>-</v>
      </c>
    </row>
    <row r="112" spans="1:10" ht="22.2" customHeight="1" x14ac:dyDescent="0.55000000000000004">
      <c r="A112" s="15">
        <v>110</v>
      </c>
      <c r="B112" s="36" t="s">
        <v>488</v>
      </c>
      <c r="C112" s="37" t="s">
        <v>266</v>
      </c>
      <c r="D112" s="37" t="s">
        <v>577</v>
      </c>
      <c r="E112" s="25" t="str">
        <f>IFERROR(INDEX('SSA1'!E:E,MATCH(Total!B112,'SSA1'!B:B,0)),"-")</f>
        <v>-</v>
      </c>
      <c r="F112" s="25" t="str">
        <f>IFERROR(INDEX('SSA2'!E:E,MATCH(Total!B112,'SSA2'!B:B,0)),"-")</f>
        <v>-</v>
      </c>
      <c r="G112" s="15" t="str">
        <f>IFERROR(INDEX('SSA3'!E:E,MATCH(Total!B112,'SSA3'!B:B,0)),"-")</f>
        <v>-</v>
      </c>
      <c r="H112" s="15" t="str">
        <f>IFERROR(INDEX('SSA5'!E:E,MATCH(Total!B112,'SSA5'!B:B,0)),"-")</f>
        <v>-</v>
      </c>
      <c r="I112" s="15" t="str">
        <f>IFERROR(INDEX('SSA6'!E:E,MATCH(Total!B112,'SSA6'!B:B,0)),"-")</f>
        <v>-</v>
      </c>
      <c r="J112" s="15" t="str">
        <f>IFERROR(INDEX('SSA7'!E:E,MATCH(Total!B112,'SSA7'!B:B,0)),"-")</f>
        <v>-</v>
      </c>
    </row>
    <row r="113" spans="1:10" ht="22.2" customHeight="1" x14ac:dyDescent="0.55000000000000004">
      <c r="A113" s="15">
        <v>111</v>
      </c>
      <c r="B113" s="36" t="s">
        <v>48</v>
      </c>
      <c r="C113" s="37" t="s">
        <v>267</v>
      </c>
      <c r="D113" s="37" t="s">
        <v>19</v>
      </c>
      <c r="E113" s="25">
        <f>IFERROR(INDEX('SSA1'!E:E,MATCH(Total!B113,'SSA1'!B:B,0)),"-")</f>
        <v>490</v>
      </c>
      <c r="F113" s="25">
        <f>IFERROR(INDEX('SSA2'!E:E,MATCH(Total!B113,'SSA2'!B:B,0)),"-")</f>
        <v>15</v>
      </c>
      <c r="G113" s="15">
        <f>IFERROR(INDEX('SSA3'!E:E,MATCH(Total!B113,'SSA3'!B:B,0)),"-")</f>
        <v>446</v>
      </c>
      <c r="H113" s="15">
        <f>IFERROR(INDEX('SSA5'!E:E,MATCH(Total!B113,'SSA5'!B:B,0)),"-")</f>
        <v>326</v>
      </c>
      <c r="I113" s="15">
        <f>IFERROR(INDEX('SSA6'!E:E,MATCH(Total!B113,'SSA6'!B:B,0)),"-")</f>
        <v>232</v>
      </c>
      <c r="J113" s="15">
        <f>IFERROR(INDEX('SSA7'!E:E,MATCH(Total!B113,'SSA7'!B:B,0)),"-")</f>
        <v>350</v>
      </c>
    </row>
    <row r="114" spans="1:10" ht="22.2" customHeight="1" x14ac:dyDescent="0.55000000000000004">
      <c r="A114" s="15">
        <v>112</v>
      </c>
      <c r="B114" s="36" t="s">
        <v>489</v>
      </c>
      <c r="C114" s="37" t="s">
        <v>268</v>
      </c>
      <c r="D114" s="37" t="s">
        <v>19</v>
      </c>
      <c r="E114" s="25" t="str">
        <f>IFERROR(INDEX('SSA1'!E:E,MATCH(Total!B114,'SSA1'!B:B,0)),"-")</f>
        <v>-</v>
      </c>
      <c r="F114" s="25" t="str">
        <f>IFERROR(INDEX('SSA2'!E:E,MATCH(Total!B114,'SSA2'!B:B,0)),"-")</f>
        <v>-</v>
      </c>
      <c r="G114" s="15" t="str">
        <f>IFERROR(INDEX('SSA3'!E:E,MATCH(Total!B114,'SSA3'!B:B,0)),"-")</f>
        <v>-</v>
      </c>
      <c r="H114" s="15" t="str">
        <f>IFERROR(INDEX('SSA5'!E:E,MATCH(Total!B114,'SSA5'!B:B,0)),"-")</f>
        <v>-</v>
      </c>
      <c r="I114" s="15" t="str">
        <f>IFERROR(INDEX('SSA6'!E:E,MATCH(Total!B114,'SSA6'!B:B,0)),"-")</f>
        <v>-</v>
      </c>
      <c r="J114" s="15" t="str">
        <f>IFERROR(INDEX('SSA7'!E:E,MATCH(Total!B114,'SSA7'!B:B,0)),"-")</f>
        <v>-</v>
      </c>
    </row>
    <row r="115" spans="1:10" ht="22.2" customHeight="1" x14ac:dyDescent="0.55000000000000004">
      <c r="A115" s="15">
        <v>113</v>
      </c>
      <c r="B115" s="36" t="s">
        <v>490</v>
      </c>
      <c r="C115" s="37" t="s">
        <v>269</v>
      </c>
      <c r="D115" s="37" t="s">
        <v>22</v>
      </c>
      <c r="E115" s="25" t="str">
        <f>IFERROR(INDEX('SSA1'!E:E,MATCH(Total!B115,'SSA1'!B:B,0)),"-")</f>
        <v>-</v>
      </c>
      <c r="F115" s="25" t="str">
        <f>IFERROR(INDEX('SSA2'!E:E,MATCH(Total!B115,'SSA2'!B:B,0)),"-")</f>
        <v>-</v>
      </c>
      <c r="G115" s="15" t="str">
        <f>IFERROR(INDEX('SSA3'!E:E,MATCH(Total!B115,'SSA3'!B:B,0)),"-")</f>
        <v>-</v>
      </c>
      <c r="H115" s="15" t="str">
        <f>IFERROR(INDEX('SSA5'!E:E,MATCH(Total!B115,'SSA5'!B:B,0)),"-")</f>
        <v>-</v>
      </c>
      <c r="I115" s="15" t="str">
        <f>IFERROR(INDEX('SSA6'!E:E,MATCH(Total!B115,'SSA6'!B:B,0)),"-")</f>
        <v>-</v>
      </c>
      <c r="J115" s="15" t="str">
        <f>IFERROR(INDEX('SSA7'!E:E,MATCH(Total!B115,'SSA7'!B:B,0)),"-")</f>
        <v>-</v>
      </c>
    </row>
    <row r="116" spans="1:10" ht="22.2" customHeight="1" x14ac:dyDescent="0.55000000000000004">
      <c r="A116" s="15">
        <v>114</v>
      </c>
      <c r="B116" s="36" t="s">
        <v>491</v>
      </c>
      <c r="C116" s="37" t="s">
        <v>270</v>
      </c>
      <c r="D116" s="37" t="s">
        <v>22</v>
      </c>
      <c r="E116" s="25" t="str">
        <f>IFERROR(INDEX('SSA1'!E:E,MATCH(Total!B116,'SSA1'!B:B,0)),"-")</f>
        <v>-</v>
      </c>
      <c r="F116" s="25" t="str">
        <f>IFERROR(INDEX('SSA2'!E:E,MATCH(Total!B116,'SSA2'!B:B,0)),"-")</f>
        <v>-</v>
      </c>
      <c r="G116" s="15" t="str">
        <f>IFERROR(INDEX('SSA3'!E:E,MATCH(Total!B116,'SSA3'!B:B,0)),"-")</f>
        <v>-</v>
      </c>
      <c r="H116" s="15" t="str">
        <f>IFERROR(INDEX('SSA5'!E:E,MATCH(Total!B116,'SSA5'!B:B,0)),"-")</f>
        <v>-</v>
      </c>
      <c r="I116" s="15" t="str">
        <f>IFERROR(INDEX('SSA6'!E:E,MATCH(Total!B116,'SSA6'!B:B,0)),"-")</f>
        <v>-</v>
      </c>
      <c r="J116" s="15" t="str">
        <f>IFERROR(INDEX('SSA7'!E:E,MATCH(Total!B116,'SSA7'!B:B,0)),"-")</f>
        <v>-</v>
      </c>
    </row>
    <row r="117" spans="1:10" ht="22.2" customHeight="1" x14ac:dyDescent="0.55000000000000004">
      <c r="A117" s="15">
        <v>115</v>
      </c>
      <c r="B117" s="36" t="s">
        <v>93</v>
      </c>
      <c r="C117" s="37" t="s">
        <v>271</v>
      </c>
      <c r="D117" s="37" t="s">
        <v>25</v>
      </c>
      <c r="E117" s="25">
        <f>IFERROR(INDEX('SSA1'!E:E,MATCH(Total!B117,'SSA1'!B:B,0)),"-")</f>
        <v>11</v>
      </c>
      <c r="F117" s="25">
        <f>IFERROR(INDEX('SSA2'!E:E,MATCH(Total!B117,'SSA2'!B:B,0)),"-")</f>
        <v>1</v>
      </c>
      <c r="G117" s="15" t="str">
        <f>IFERROR(INDEX('SSA3'!E:E,MATCH(Total!B117,'SSA3'!B:B,0)),"-")</f>
        <v>-</v>
      </c>
      <c r="H117" s="15">
        <f>IFERROR(INDEX('SSA5'!E:E,MATCH(Total!B117,'SSA5'!B:B,0)),"-")</f>
        <v>7</v>
      </c>
      <c r="I117" s="15">
        <f>IFERROR(INDEX('SSA6'!E:E,MATCH(Total!B117,'SSA6'!B:B,0)),"-")</f>
        <v>12</v>
      </c>
      <c r="J117" s="15">
        <f>IFERROR(INDEX('SSA7'!E:E,MATCH(Total!B117,'SSA7'!B:B,0)),"-")</f>
        <v>11</v>
      </c>
    </row>
    <row r="118" spans="1:10" ht="22.2" customHeight="1" x14ac:dyDescent="0.55000000000000004">
      <c r="A118" s="15">
        <v>116</v>
      </c>
      <c r="B118" s="36" t="s">
        <v>492</v>
      </c>
      <c r="C118" s="37" t="s">
        <v>272</v>
      </c>
      <c r="D118" s="37" t="s">
        <v>578</v>
      </c>
      <c r="E118" s="25" t="str">
        <f>IFERROR(INDEX('SSA1'!E:E,MATCH(Total!B118,'SSA1'!B:B,0)),"-")</f>
        <v>-</v>
      </c>
      <c r="F118" s="25" t="str">
        <f>IFERROR(INDEX('SSA2'!E:E,MATCH(Total!B118,'SSA2'!B:B,0)),"-")</f>
        <v>-</v>
      </c>
      <c r="G118" s="15" t="str">
        <f>IFERROR(INDEX('SSA3'!E:E,MATCH(Total!B118,'SSA3'!B:B,0)),"-")</f>
        <v>-</v>
      </c>
      <c r="H118" s="15" t="str">
        <f>IFERROR(INDEX('SSA5'!E:E,MATCH(Total!B118,'SSA5'!B:B,0)),"-")</f>
        <v>-</v>
      </c>
      <c r="I118" s="15" t="str">
        <f>IFERROR(INDEX('SSA6'!E:E,MATCH(Total!B118,'SSA6'!B:B,0)),"-")</f>
        <v>-</v>
      </c>
      <c r="J118" s="15" t="str">
        <f>IFERROR(INDEX('SSA7'!E:E,MATCH(Total!B118,'SSA7'!B:B,0)),"-")</f>
        <v>-</v>
      </c>
    </row>
    <row r="119" spans="1:10" ht="22.2" customHeight="1" x14ac:dyDescent="0.55000000000000004">
      <c r="A119" s="15">
        <v>117</v>
      </c>
      <c r="B119" s="36" t="s">
        <v>30</v>
      </c>
      <c r="C119" s="37" t="s">
        <v>273</v>
      </c>
      <c r="D119" s="37" t="s">
        <v>25</v>
      </c>
      <c r="E119" s="25">
        <f>IFERROR(INDEX('SSA1'!E:E,MATCH(Total!B119,'SSA1'!B:B,0)),"-")</f>
        <v>37</v>
      </c>
      <c r="F119" s="25" t="str">
        <f>IFERROR(INDEX('SSA2'!E:E,MATCH(Total!B119,'SSA2'!B:B,0)),"-")</f>
        <v>-</v>
      </c>
      <c r="G119" s="15">
        <f>IFERROR(INDEX('SSA3'!E:E,MATCH(Total!B119,'SSA3'!B:B,0)),"-")</f>
        <v>19</v>
      </c>
      <c r="H119" s="15">
        <f>IFERROR(INDEX('SSA5'!E:E,MATCH(Total!B119,'SSA5'!B:B,0)),"-")</f>
        <v>2</v>
      </c>
      <c r="I119" s="15">
        <f>IFERROR(INDEX('SSA6'!E:E,MATCH(Total!B119,'SSA6'!B:B,0)),"-")</f>
        <v>4</v>
      </c>
      <c r="J119" s="15" t="str">
        <f>IFERROR(INDEX('SSA7'!E:E,MATCH(Total!B119,'SSA7'!B:B,0)),"-")</f>
        <v>-</v>
      </c>
    </row>
    <row r="120" spans="1:10" ht="22.2" customHeight="1" x14ac:dyDescent="0.55000000000000004">
      <c r="A120" s="15">
        <v>118</v>
      </c>
      <c r="B120" s="36" t="s">
        <v>95</v>
      </c>
      <c r="C120" s="37" t="s">
        <v>274</v>
      </c>
      <c r="D120" s="37" t="s">
        <v>25</v>
      </c>
      <c r="E120" s="25">
        <f>IFERROR(INDEX('SSA1'!E:E,MATCH(Total!B120,'SSA1'!B:B,0)),"-")</f>
        <v>230</v>
      </c>
      <c r="F120" s="25">
        <f>IFERROR(INDEX('SSA2'!E:E,MATCH(Total!B120,'SSA2'!B:B,0)),"-")</f>
        <v>15</v>
      </c>
      <c r="G120" s="15">
        <f>IFERROR(INDEX('SSA3'!E:E,MATCH(Total!B120,'SSA3'!B:B,0)),"-")</f>
        <v>74</v>
      </c>
      <c r="H120" s="15">
        <f>IFERROR(INDEX('SSA5'!E:E,MATCH(Total!B120,'SSA5'!B:B,0)),"-")</f>
        <v>224</v>
      </c>
      <c r="I120" s="15">
        <f>IFERROR(INDEX('SSA6'!E:E,MATCH(Total!B120,'SSA6'!B:B,0)),"-")</f>
        <v>140</v>
      </c>
      <c r="J120" s="15">
        <f>IFERROR(INDEX('SSA7'!E:E,MATCH(Total!B120,'SSA7'!B:B,0)),"-")</f>
        <v>41</v>
      </c>
    </row>
    <row r="121" spans="1:10" ht="22.2" customHeight="1" x14ac:dyDescent="0.55000000000000004">
      <c r="A121" s="15">
        <v>119</v>
      </c>
      <c r="B121" s="36" t="s">
        <v>493</v>
      </c>
      <c r="C121" s="37" t="s">
        <v>275</v>
      </c>
      <c r="D121" s="37" t="s">
        <v>22</v>
      </c>
      <c r="E121" s="25" t="str">
        <f>IFERROR(INDEX('SSA1'!E:E,MATCH(Total!B121,'SSA1'!B:B,0)),"-")</f>
        <v>-</v>
      </c>
      <c r="F121" s="25" t="str">
        <f>IFERROR(INDEX('SSA2'!E:E,MATCH(Total!B121,'SSA2'!B:B,0)),"-")</f>
        <v>-</v>
      </c>
      <c r="G121" s="15" t="str">
        <f>IFERROR(INDEX('SSA3'!E:E,MATCH(Total!B121,'SSA3'!B:B,0)),"-")</f>
        <v>-</v>
      </c>
      <c r="H121" s="15" t="str">
        <f>IFERROR(INDEX('SSA5'!E:E,MATCH(Total!B121,'SSA5'!B:B,0)),"-")</f>
        <v>-</v>
      </c>
      <c r="I121" s="15" t="str">
        <f>IFERROR(INDEX('SSA6'!E:E,MATCH(Total!B121,'SSA6'!B:B,0)),"-")</f>
        <v>-</v>
      </c>
      <c r="J121" s="15" t="str">
        <f>IFERROR(INDEX('SSA7'!E:E,MATCH(Total!B121,'SSA7'!B:B,0)),"-")</f>
        <v>-</v>
      </c>
    </row>
    <row r="122" spans="1:10" ht="22.2" customHeight="1" x14ac:dyDescent="0.55000000000000004">
      <c r="A122" s="15">
        <v>120</v>
      </c>
      <c r="B122" s="36" t="s">
        <v>32</v>
      </c>
      <c r="C122" s="37" t="s">
        <v>276</v>
      </c>
      <c r="D122" s="37" t="s">
        <v>25</v>
      </c>
      <c r="E122" s="25">
        <f>IFERROR(INDEX('SSA1'!E:E,MATCH(Total!B122,'SSA1'!B:B,0)),"-")</f>
        <v>579</v>
      </c>
      <c r="F122" s="25">
        <f>IFERROR(INDEX('SSA2'!E:E,MATCH(Total!B122,'SSA2'!B:B,0)),"-")</f>
        <v>9</v>
      </c>
      <c r="G122" s="15">
        <f>IFERROR(INDEX('SSA3'!E:E,MATCH(Total!B122,'SSA3'!B:B,0)),"-")</f>
        <v>60</v>
      </c>
      <c r="H122" s="15">
        <f>IFERROR(INDEX('SSA5'!E:E,MATCH(Total!B122,'SSA5'!B:B,0)),"-")</f>
        <v>324</v>
      </c>
      <c r="I122" s="15">
        <f>IFERROR(INDEX('SSA6'!E:E,MATCH(Total!B122,'SSA6'!B:B,0)),"-")</f>
        <v>140</v>
      </c>
      <c r="J122" s="15">
        <f>IFERROR(INDEX('SSA7'!E:E,MATCH(Total!B122,'SSA7'!B:B,0)),"-")</f>
        <v>140</v>
      </c>
    </row>
    <row r="123" spans="1:10" ht="22.2" customHeight="1" x14ac:dyDescent="0.55000000000000004">
      <c r="A123" s="15">
        <v>121</v>
      </c>
      <c r="B123" s="36" t="s">
        <v>28</v>
      </c>
      <c r="C123" s="37" t="s">
        <v>277</v>
      </c>
      <c r="D123" s="37" t="s">
        <v>25</v>
      </c>
      <c r="E123" s="25">
        <f>IFERROR(INDEX('SSA1'!E:E,MATCH(Total!B123,'SSA1'!B:B,0)),"-")</f>
        <v>80</v>
      </c>
      <c r="F123" s="25">
        <f>IFERROR(INDEX('SSA2'!E:E,MATCH(Total!B123,'SSA2'!B:B,0)),"-")</f>
        <v>7</v>
      </c>
      <c r="G123" s="15">
        <f>IFERROR(INDEX('SSA3'!E:E,MATCH(Total!B123,'SSA3'!B:B,0)),"-")</f>
        <v>78</v>
      </c>
      <c r="H123" s="15">
        <f>IFERROR(INDEX('SSA5'!E:E,MATCH(Total!B123,'SSA5'!B:B,0)),"-")</f>
        <v>105</v>
      </c>
      <c r="I123" s="15">
        <f>IFERROR(INDEX('SSA6'!E:E,MATCH(Total!B123,'SSA6'!B:B,0)),"-")</f>
        <v>23</v>
      </c>
      <c r="J123" s="15">
        <f>IFERROR(INDEX('SSA7'!E:E,MATCH(Total!B123,'SSA7'!B:B,0)),"-")</f>
        <v>26</v>
      </c>
    </row>
    <row r="124" spans="1:10" ht="22.2" customHeight="1" x14ac:dyDescent="0.55000000000000004">
      <c r="A124" s="15">
        <v>122</v>
      </c>
      <c r="B124" s="36" t="s">
        <v>494</v>
      </c>
      <c r="C124" s="37" t="s">
        <v>278</v>
      </c>
      <c r="D124" s="37" t="s">
        <v>25</v>
      </c>
      <c r="E124" s="25" t="str">
        <f>IFERROR(INDEX('SSA1'!E:E,MATCH(Total!B124,'SSA1'!B:B,0)),"-")</f>
        <v>-</v>
      </c>
      <c r="F124" s="25" t="str">
        <f>IFERROR(INDEX('SSA2'!E:E,MATCH(Total!B124,'SSA2'!B:B,0)),"-")</f>
        <v>-</v>
      </c>
      <c r="G124" s="15" t="str">
        <f>IFERROR(INDEX('SSA3'!E:E,MATCH(Total!B124,'SSA3'!B:B,0)),"-")</f>
        <v>-</v>
      </c>
      <c r="H124" s="15" t="str">
        <f>IFERROR(INDEX('SSA5'!E:E,MATCH(Total!B124,'SSA5'!B:B,0)),"-")</f>
        <v>-</v>
      </c>
      <c r="I124" s="15" t="str">
        <f>IFERROR(INDEX('SSA6'!E:E,MATCH(Total!B124,'SSA6'!B:B,0)),"-")</f>
        <v>-</v>
      </c>
      <c r="J124" s="15" t="str">
        <f>IFERROR(INDEX('SSA7'!E:E,MATCH(Total!B124,'SSA7'!B:B,0)),"-")</f>
        <v>-</v>
      </c>
    </row>
    <row r="125" spans="1:10" ht="22.2" customHeight="1" x14ac:dyDescent="0.55000000000000004">
      <c r="A125" s="15">
        <v>123</v>
      </c>
      <c r="B125" s="36" t="s">
        <v>97</v>
      </c>
      <c r="C125" s="37" t="s">
        <v>279</v>
      </c>
      <c r="D125" s="37" t="s">
        <v>25</v>
      </c>
      <c r="E125" s="25">
        <f>IFERROR(INDEX('SSA1'!E:E,MATCH(Total!B125,'SSA1'!B:B,0)),"-")</f>
        <v>82</v>
      </c>
      <c r="F125" s="25">
        <f>IFERROR(INDEX('SSA2'!E:E,MATCH(Total!B125,'SSA2'!B:B,0)),"-")</f>
        <v>13</v>
      </c>
      <c r="G125" s="15">
        <f>IFERROR(INDEX('SSA3'!E:E,MATCH(Total!B125,'SSA3'!B:B,0)),"-")</f>
        <v>76</v>
      </c>
      <c r="H125" s="15">
        <f>IFERROR(INDEX('SSA5'!E:E,MATCH(Total!B125,'SSA5'!B:B,0)),"-")</f>
        <v>77</v>
      </c>
      <c r="I125" s="15">
        <f>IFERROR(INDEX('SSA6'!E:E,MATCH(Total!B125,'SSA6'!B:B,0)),"-")</f>
        <v>49</v>
      </c>
      <c r="J125" s="15">
        <f>IFERROR(INDEX('SSA7'!E:E,MATCH(Total!B125,'SSA7'!B:B,0)),"-")</f>
        <v>57</v>
      </c>
    </row>
    <row r="126" spans="1:10" ht="22.2" customHeight="1" x14ac:dyDescent="0.55000000000000004">
      <c r="A126" s="15">
        <v>124</v>
      </c>
      <c r="B126" s="36" t="s">
        <v>38</v>
      </c>
      <c r="C126" s="37" t="s">
        <v>280</v>
      </c>
      <c r="D126" s="37" t="s">
        <v>19</v>
      </c>
      <c r="E126" s="25">
        <f>IFERROR(INDEX('SSA1'!E:E,MATCH(Total!B126,'SSA1'!B:B,0)),"-")</f>
        <v>164</v>
      </c>
      <c r="F126" s="25">
        <f>IFERROR(INDEX('SSA2'!E:E,MATCH(Total!B126,'SSA2'!B:B,0)),"-")</f>
        <v>12</v>
      </c>
      <c r="G126" s="15">
        <f>IFERROR(INDEX('SSA3'!E:E,MATCH(Total!B126,'SSA3'!B:B,0)),"-")</f>
        <v>101</v>
      </c>
      <c r="H126" s="15">
        <f>IFERROR(INDEX('SSA5'!E:E,MATCH(Total!B126,'SSA5'!B:B,0)),"-")</f>
        <v>127</v>
      </c>
      <c r="I126" s="15">
        <f>IFERROR(INDEX('SSA6'!E:E,MATCH(Total!B126,'SSA6'!B:B,0)),"-")</f>
        <v>41</v>
      </c>
      <c r="J126" s="15">
        <f>IFERROR(INDEX('SSA7'!E:E,MATCH(Total!B126,'SSA7'!B:B,0)),"-")</f>
        <v>42</v>
      </c>
    </row>
    <row r="127" spans="1:10" ht="22.2" customHeight="1" x14ac:dyDescent="0.55000000000000004">
      <c r="A127" s="15">
        <v>125</v>
      </c>
      <c r="B127" s="36" t="s">
        <v>36</v>
      </c>
      <c r="C127" s="37" t="s">
        <v>281</v>
      </c>
      <c r="D127" s="37" t="s">
        <v>25</v>
      </c>
      <c r="E127" s="25">
        <f>IFERROR(INDEX('SSA1'!E:E,MATCH(Total!B127,'SSA1'!B:B,0)),"-")</f>
        <v>940</v>
      </c>
      <c r="F127" s="25">
        <f>IFERROR(INDEX('SSA2'!E:E,MATCH(Total!B127,'SSA2'!B:B,0)),"-")</f>
        <v>59</v>
      </c>
      <c r="G127" s="15">
        <f>IFERROR(INDEX('SSA3'!E:E,MATCH(Total!B127,'SSA3'!B:B,0)),"-")</f>
        <v>804</v>
      </c>
      <c r="H127" s="15">
        <f>IFERROR(INDEX('SSA5'!E:E,MATCH(Total!B127,'SSA5'!B:B,0)),"-")</f>
        <v>714</v>
      </c>
      <c r="I127" s="15">
        <f>IFERROR(INDEX('SSA6'!E:E,MATCH(Total!B127,'SSA6'!B:B,0)),"-")</f>
        <v>455</v>
      </c>
      <c r="J127" s="15">
        <f>IFERROR(INDEX('SSA7'!E:E,MATCH(Total!B127,'SSA7'!B:B,0)),"-")</f>
        <v>332</v>
      </c>
    </row>
    <row r="128" spans="1:10" ht="22.2" customHeight="1" x14ac:dyDescent="0.55000000000000004">
      <c r="A128" s="15">
        <v>126</v>
      </c>
      <c r="B128" s="36" t="s">
        <v>495</v>
      </c>
      <c r="C128" s="37" t="s">
        <v>282</v>
      </c>
      <c r="D128" s="37" t="s">
        <v>25</v>
      </c>
      <c r="E128" s="25" t="str">
        <f>IFERROR(INDEX('SSA1'!E:E,MATCH(Total!B128,'SSA1'!B:B,0)),"-")</f>
        <v>-</v>
      </c>
      <c r="F128" s="25" t="str">
        <f>IFERROR(INDEX('SSA2'!E:E,MATCH(Total!B128,'SSA2'!B:B,0)),"-")</f>
        <v>-</v>
      </c>
      <c r="G128" s="15" t="str">
        <f>IFERROR(INDEX('SSA3'!E:E,MATCH(Total!B128,'SSA3'!B:B,0)),"-")</f>
        <v>-</v>
      </c>
      <c r="H128" s="15" t="str">
        <f>IFERROR(INDEX('SSA5'!E:E,MATCH(Total!B128,'SSA5'!B:B,0)),"-")</f>
        <v>-</v>
      </c>
      <c r="I128" s="15" t="str">
        <f>IFERROR(INDEX('SSA6'!E:E,MATCH(Total!B128,'SSA6'!B:B,0)),"-")</f>
        <v>-</v>
      </c>
      <c r="J128" s="15" t="str">
        <f>IFERROR(INDEX('SSA7'!E:E,MATCH(Total!B128,'SSA7'!B:B,0)),"-")</f>
        <v>-</v>
      </c>
    </row>
    <row r="129" spans="1:10" ht="22.2" customHeight="1" x14ac:dyDescent="0.55000000000000004">
      <c r="A129" s="15">
        <v>127</v>
      </c>
      <c r="B129" s="36" t="s">
        <v>496</v>
      </c>
      <c r="C129" s="37" t="s">
        <v>283</v>
      </c>
      <c r="D129" s="37" t="s">
        <v>25</v>
      </c>
      <c r="E129" s="25" t="str">
        <f>IFERROR(INDEX('SSA1'!E:E,MATCH(Total!B129,'SSA1'!B:B,0)),"-")</f>
        <v>-</v>
      </c>
      <c r="F129" s="25" t="str">
        <f>IFERROR(INDEX('SSA2'!E:E,MATCH(Total!B129,'SSA2'!B:B,0)),"-")</f>
        <v>-</v>
      </c>
      <c r="G129" s="15" t="str">
        <f>IFERROR(INDEX('SSA3'!E:E,MATCH(Total!B129,'SSA3'!B:B,0)),"-")</f>
        <v>-</v>
      </c>
      <c r="H129" s="15" t="str">
        <f>IFERROR(INDEX('SSA5'!E:E,MATCH(Total!B129,'SSA5'!B:B,0)),"-")</f>
        <v>-</v>
      </c>
      <c r="I129" s="15" t="str">
        <f>IFERROR(INDEX('SSA6'!E:E,MATCH(Total!B129,'SSA6'!B:B,0)),"-")</f>
        <v>-</v>
      </c>
      <c r="J129" s="15" t="str">
        <f>IFERROR(INDEX('SSA7'!E:E,MATCH(Total!B129,'SSA7'!B:B,0)),"-")</f>
        <v>-</v>
      </c>
    </row>
    <row r="130" spans="1:10" ht="22.2" customHeight="1" x14ac:dyDescent="0.55000000000000004">
      <c r="A130" s="15">
        <v>128</v>
      </c>
      <c r="B130" s="36" t="s">
        <v>497</v>
      </c>
      <c r="C130" s="37" t="s">
        <v>284</v>
      </c>
      <c r="D130" s="37" t="s">
        <v>22</v>
      </c>
      <c r="E130" s="25" t="str">
        <f>IFERROR(INDEX('SSA1'!E:E,MATCH(Total!B130,'SSA1'!B:B,0)),"-")</f>
        <v>-</v>
      </c>
      <c r="F130" s="25" t="str">
        <f>IFERROR(INDEX('SSA2'!E:E,MATCH(Total!B130,'SSA2'!B:B,0)),"-")</f>
        <v>-</v>
      </c>
      <c r="G130" s="15" t="str">
        <f>IFERROR(INDEX('SSA3'!E:E,MATCH(Total!B130,'SSA3'!B:B,0)),"-")</f>
        <v>-</v>
      </c>
      <c r="H130" s="15" t="str">
        <f>IFERROR(INDEX('SSA5'!E:E,MATCH(Total!B130,'SSA5'!B:B,0)),"-")</f>
        <v>-</v>
      </c>
      <c r="I130" s="15" t="str">
        <f>IFERROR(INDEX('SSA6'!E:E,MATCH(Total!B130,'SSA6'!B:B,0)),"-")</f>
        <v>-</v>
      </c>
      <c r="J130" s="15" t="str">
        <f>IFERROR(INDEX('SSA7'!E:E,MATCH(Total!B130,'SSA7'!B:B,0)),"-")</f>
        <v>-</v>
      </c>
    </row>
    <row r="131" spans="1:10" ht="22.2" customHeight="1" x14ac:dyDescent="0.55000000000000004">
      <c r="A131" s="15">
        <v>129</v>
      </c>
      <c r="B131" s="36" t="s">
        <v>105</v>
      </c>
      <c r="C131" s="37" t="s">
        <v>285</v>
      </c>
      <c r="D131" s="37" t="s">
        <v>19</v>
      </c>
      <c r="E131" s="25">
        <f>IFERROR(INDEX('SSA1'!E:E,MATCH(Total!B131,'SSA1'!B:B,0)),"-")</f>
        <v>1711</v>
      </c>
      <c r="F131" s="25">
        <f>IFERROR(INDEX('SSA2'!E:E,MATCH(Total!B131,'SSA2'!B:B,0)),"-")</f>
        <v>4</v>
      </c>
      <c r="G131" s="15">
        <f>IFERROR(INDEX('SSA3'!E:E,MATCH(Total!B131,'SSA3'!B:B,0)),"-")</f>
        <v>253</v>
      </c>
      <c r="H131" s="15">
        <f>IFERROR(INDEX('SSA5'!E:E,MATCH(Total!B131,'SSA5'!B:B,0)),"-")</f>
        <v>357</v>
      </c>
      <c r="I131" s="15">
        <f>IFERROR(INDEX('SSA6'!E:E,MATCH(Total!B131,'SSA6'!B:B,0)),"-")</f>
        <v>142</v>
      </c>
      <c r="J131" s="15">
        <f>IFERROR(INDEX('SSA7'!E:E,MATCH(Total!B131,'SSA7'!B:B,0)),"-")</f>
        <v>179</v>
      </c>
    </row>
    <row r="132" spans="1:10" ht="22.2" customHeight="1" x14ac:dyDescent="0.55000000000000004">
      <c r="A132" s="15">
        <v>130</v>
      </c>
      <c r="B132" s="36" t="s">
        <v>34</v>
      </c>
      <c r="C132" s="37" t="s">
        <v>286</v>
      </c>
      <c r="D132" s="37" t="s">
        <v>25</v>
      </c>
      <c r="E132" s="25">
        <f>IFERROR(INDEX('SSA1'!E:E,MATCH(Total!B132,'SSA1'!B:B,0)),"-")</f>
        <v>72</v>
      </c>
      <c r="F132" s="25" t="str">
        <f>IFERROR(INDEX('SSA2'!E:E,MATCH(Total!B132,'SSA2'!B:B,0)),"-")</f>
        <v>-</v>
      </c>
      <c r="G132" s="15">
        <f>IFERROR(INDEX('SSA3'!E:E,MATCH(Total!B132,'SSA3'!B:B,0)),"-")</f>
        <v>19</v>
      </c>
      <c r="H132" s="15">
        <f>IFERROR(INDEX('SSA5'!E:E,MATCH(Total!B132,'SSA5'!B:B,0)),"-")</f>
        <v>62</v>
      </c>
      <c r="I132" s="15">
        <f>IFERROR(INDEX('SSA6'!E:E,MATCH(Total!B132,'SSA6'!B:B,0)),"-")</f>
        <v>2</v>
      </c>
      <c r="J132" s="15">
        <f>IFERROR(INDEX('SSA7'!E:E,MATCH(Total!B132,'SSA7'!B:B,0)),"-")</f>
        <v>52</v>
      </c>
    </row>
    <row r="133" spans="1:10" ht="22.2" customHeight="1" x14ac:dyDescent="0.55000000000000004">
      <c r="A133" s="15">
        <v>131</v>
      </c>
      <c r="B133" s="36" t="s">
        <v>498</v>
      </c>
      <c r="C133" s="37" t="s">
        <v>287</v>
      </c>
      <c r="D133" s="37" t="s">
        <v>22</v>
      </c>
      <c r="E133" s="25" t="str">
        <f>IFERROR(INDEX('SSA1'!E:E,MATCH(Total!B133,'SSA1'!B:B,0)),"-")</f>
        <v>-</v>
      </c>
      <c r="F133" s="25" t="str">
        <f>IFERROR(INDEX('SSA2'!E:E,MATCH(Total!B133,'SSA2'!B:B,0)),"-")</f>
        <v>-</v>
      </c>
      <c r="G133" s="15" t="str">
        <f>IFERROR(INDEX('SSA3'!E:E,MATCH(Total!B133,'SSA3'!B:B,0)),"-")</f>
        <v>-</v>
      </c>
      <c r="H133" s="15" t="str">
        <f>IFERROR(INDEX('SSA5'!E:E,MATCH(Total!B133,'SSA5'!B:B,0)),"-")</f>
        <v>-</v>
      </c>
      <c r="I133" s="15" t="str">
        <f>IFERROR(INDEX('SSA6'!E:E,MATCH(Total!B133,'SSA6'!B:B,0)),"-")</f>
        <v>-</v>
      </c>
      <c r="J133" s="15" t="str">
        <f>IFERROR(INDEX('SSA7'!E:E,MATCH(Total!B133,'SSA7'!B:B,0)),"-")</f>
        <v>-</v>
      </c>
    </row>
    <row r="134" spans="1:10" ht="22.2" customHeight="1" x14ac:dyDescent="0.55000000000000004">
      <c r="A134" s="15">
        <v>132</v>
      </c>
      <c r="B134" s="36" t="s">
        <v>499</v>
      </c>
      <c r="C134" s="37" t="s">
        <v>288</v>
      </c>
      <c r="D134" s="37" t="s">
        <v>111</v>
      </c>
      <c r="E134" s="25" t="str">
        <f>IFERROR(INDEX('SSA1'!E:E,MATCH(Total!B134,'SSA1'!B:B,0)),"-")</f>
        <v>-</v>
      </c>
      <c r="F134" s="25" t="str">
        <f>IFERROR(INDEX('SSA2'!E:E,MATCH(Total!B134,'SSA2'!B:B,0)),"-")</f>
        <v>-</v>
      </c>
      <c r="G134" s="15" t="str">
        <f>IFERROR(INDEX('SSA3'!E:E,MATCH(Total!B134,'SSA3'!B:B,0)),"-")</f>
        <v>-</v>
      </c>
      <c r="H134" s="15" t="str">
        <f>IFERROR(INDEX('SSA5'!E:E,MATCH(Total!B134,'SSA5'!B:B,0)),"-")</f>
        <v>-</v>
      </c>
      <c r="I134" s="15" t="str">
        <f>IFERROR(INDEX('SSA6'!E:E,MATCH(Total!B134,'SSA6'!B:B,0)),"-")</f>
        <v>-</v>
      </c>
      <c r="J134" s="15" t="str">
        <f>IFERROR(INDEX('SSA7'!E:E,MATCH(Total!B134,'SSA7'!B:B,0)),"-")</f>
        <v>-</v>
      </c>
    </row>
    <row r="135" spans="1:10" ht="22.2" customHeight="1" x14ac:dyDescent="0.55000000000000004">
      <c r="A135" s="15">
        <v>133</v>
      </c>
      <c r="B135" s="36" t="s">
        <v>109</v>
      </c>
      <c r="C135" s="37" t="s">
        <v>289</v>
      </c>
      <c r="D135" s="37" t="s">
        <v>111</v>
      </c>
      <c r="E135" s="25">
        <f>IFERROR(INDEX('SSA1'!E:E,MATCH(Total!B135,'SSA1'!B:B,0)),"-")</f>
        <v>90</v>
      </c>
      <c r="F135" s="25" t="str">
        <f>IFERROR(INDEX('SSA2'!E:E,MATCH(Total!B135,'SSA2'!B:B,0)),"-")</f>
        <v>-</v>
      </c>
      <c r="G135" s="15">
        <f>IFERROR(INDEX('SSA3'!E:E,MATCH(Total!B135,'SSA3'!B:B,0)),"-")</f>
        <v>16</v>
      </c>
      <c r="H135" s="15">
        <f>IFERROR(INDEX('SSA5'!E:E,MATCH(Total!B135,'SSA5'!B:B,0)),"-")</f>
        <v>47</v>
      </c>
      <c r="I135" s="15">
        <f>IFERROR(INDEX('SSA6'!E:E,MATCH(Total!B135,'SSA6'!B:B,0)),"-")</f>
        <v>23</v>
      </c>
      <c r="J135" s="15">
        <f>IFERROR(INDEX('SSA7'!E:E,MATCH(Total!B135,'SSA7'!B:B,0)),"-")</f>
        <v>39</v>
      </c>
    </row>
    <row r="136" spans="1:10" ht="22.2" customHeight="1" x14ac:dyDescent="0.55000000000000004">
      <c r="A136" s="15">
        <v>134</v>
      </c>
      <c r="B136" s="36" t="s">
        <v>122</v>
      </c>
      <c r="C136" s="37" t="s">
        <v>290</v>
      </c>
      <c r="D136" s="37" t="s">
        <v>22</v>
      </c>
      <c r="E136" s="25">
        <f>IFERROR(INDEX('SSA1'!E:E,MATCH(Total!B136,'SSA1'!B:B,0)),"-")</f>
        <v>3</v>
      </c>
      <c r="F136" s="25" t="str">
        <f>IFERROR(INDEX('SSA2'!E:E,MATCH(Total!B136,'SSA2'!B:B,0)),"-")</f>
        <v>-</v>
      </c>
      <c r="G136" s="15" t="str">
        <f>IFERROR(INDEX('SSA3'!E:E,MATCH(Total!B136,'SSA3'!B:B,0)),"-")</f>
        <v>-</v>
      </c>
      <c r="H136" s="15">
        <f>IFERROR(INDEX('SSA5'!E:E,MATCH(Total!B136,'SSA5'!B:B,0)),"-")</f>
        <v>5</v>
      </c>
      <c r="I136" s="15">
        <f>IFERROR(INDEX('SSA6'!E:E,MATCH(Total!B136,'SSA6'!B:B,0)),"-")</f>
        <v>1</v>
      </c>
      <c r="J136" s="15" t="str">
        <f>IFERROR(INDEX('SSA7'!E:E,MATCH(Total!B136,'SSA7'!B:B,0)),"-")</f>
        <v>-</v>
      </c>
    </row>
    <row r="137" spans="1:10" ht="22.2" customHeight="1" x14ac:dyDescent="0.55000000000000004">
      <c r="A137" s="15">
        <v>135</v>
      </c>
      <c r="B137" s="36" t="s">
        <v>500</v>
      </c>
      <c r="C137" s="37" t="s">
        <v>290</v>
      </c>
      <c r="D137" s="37" t="s">
        <v>579</v>
      </c>
      <c r="E137" s="25" t="str">
        <f>IFERROR(INDEX('SSA1'!E:E,MATCH(Total!B137,'SSA1'!B:B,0)),"-")</f>
        <v>-</v>
      </c>
      <c r="F137" s="25" t="str">
        <f>IFERROR(INDEX('SSA2'!E:E,MATCH(Total!B137,'SSA2'!B:B,0)),"-")</f>
        <v>-</v>
      </c>
      <c r="G137" s="15" t="str">
        <f>IFERROR(INDEX('SSA3'!E:E,MATCH(Total!B137,'SSA3'!B:B,0)),"-")</f>
        <v>-</v>
      </c>
      <c r="H137" s="15" t="str">
        <f>IFERROR(INDEX('SSA5'!E:E,MATCH(Total!B137,'SSA5'!B:B,0)),"-")</f>
        <v>-</v>
      </c>
      <c r="I137" s="15" t="str">
        <f>IFERROR(INDEX('SSA6'!E:E,MATCH(Total!B137,'SSA6'!B:B,0)),"-")</f>
        <v>-</v>
      </c>
      <c r="J137" s="15" t="str">
        <f>IFERROR(INDEX('SSA7'!E:E,MATCH(Total!B137,'SSA7'!B:B,0)),"-")</f>
        <v>-</v>
      </c>
    </row>
    <row r="138" spans="1:10" ht="22.2" customHeight="1" x14ac:dyDescent="0.55000000000000004">
      <c r="A138" s="15">
        <v>136</v>
      </c>
      <c r="B138" s="36" t="s">
        <v>501</v>
      </c>
      <c r="C138" s="37" t="s">
        <v>291</v>
      </c>
      <c r="D138" s="37" t="s">
        <v>25</v>
      </c>
      <c r="E138" s="25" t="str">
        <f>IFERROR(INDEX('SSA1'!E:E,MATCH(Total!B138,'SSA1'!B:B,0)),"-")</f>
        <v>-</v>
      </c>
      <c r="F138" s="25" t="str">
        <f>IFERROR(INDEX('SSA2'!E:E,MATCH(Total!B138,'SSA2'!B:B,0)),"-")</f>
        <v>-</v>
      </c>
      <c r="G138" s="15" t="str">
        <f>IFERROR(INDEX('SSA3'!E:E,MATCH(Total!B138,'SSA3'!B:B,0)),"-")</f>
        <v>-</v>
      </c>
      <c r="H138" s="15" t="str">
        <f>IFERROR(INDEX('SSA5'!E:E,MATCH(Total!B138,'SSA5'!B:B,0)),"-")</f>
        <v>-</v>
      </c>
      <c r="I138" s="15" t="str">
        <f>IFERROR(INDEX('SSA6'!E:E,MATCH(Total!B138,'SSA6'!B:B,0)),"-")</f>
        <v>-</v>
      </c>
      <c r="J138" s="15" t="str">
        <f>IFERROR(INDEX('SSA7'!E:E,MATCH(Total!B138,'SSA7'!B:B,0)),"-")</f>
        <v>-</v>
      </c>
    </row>
    <row r="139" spans="1:10" ht="22.2" customHeight="1" x14ac:dyDescent="0.55000000000000004">
      <c r="A139" s="15">
        <v>137</v>
      </c>
      <c r="B139" s="36" t="s">
        <v>502</v>
      </c>
      <c r="C139" s="37" t="s">
        <v>292</v>
      </c>
      <c r="D139" s="37" t="s">
        <v>25</v>
      </c>
      <c r="E139" s="25" t="str">
        <f>IFERROR(INDEX('SSA1'!E:E,MATCH(Total!B139,'SSA1'!B:B,0)),"-")</f>
        <v>-</v>
      </c>
      <c r="F139" s="25" t="str">
        <f>IFERROR(INDEX('SSA2'!E:E,MATCH(Total!B139,'SSA2'!B:B,0)),"-")</f>
        <v>-</v>
      </c>
      <c r="G139" s="15" t="str">
        <f>IFERROR(INDEX('SSA3'!E:E,MATCH(Total!B139,'SSA3'!B:B,0)),"-")</f>
        <v>-</v>
      </c>
      <c r="H139" s="15" t="str">
        <f>IFERROR(INDEX('SSA5'!E:E,MATCH(Total!B139,'SSA5'!B:B,0)),"-")</f>
        <v>-</v>
      </c>
      <c r="I139" s="15" t="str">
        <f>IFERROR(INDEX('SSA6'!E:E,MATCH(Total!B139,'SSA6'!B:B,0)),"-")</f>
        <v>-</v>
      </c>
      <c r="J139" s="15" t="str">
        <f>IFERROR(INDEX('SSA7'!E:E,MATCH(Total!B139,'SSA7'!B:B,0)),"-")</f>
        <v>-</v>
      </c>
    </row>
    <row r="140" spans="1:10" ht="22.2" customHeight="1" x14ac:dyDescent="0.55000000000000004">
      <c r="A140" s="15">
        <v>138</v>
      </c>
      <c r="B140" s="36" t="s">
        <v>58</v>
      </c>
      <c r="C140" s="37" t="s">
        <v>293</v>
      </c>
      <c r="D140" s="37" t="s">
        <v>25</v>
      </c>
      <c r="E140" s="25">
        <f>IFERROR(INDEX('SSA1'!E:E,MATCH(Total!B140,'SSA1'!B:B,0)),"-")</f>
        <v>69</v>
      </c>
      <c r="F140" s="25">
        <f>IFERROR(INDEX('SSA2'!E:E,MATCH(Total!B140,'SSA2'!B:B,0)),"-")</f>
        <v>8</v>
      </c>
      <c r="G140" s="15">
        <f>IFERROR(INDEX('SSA3'!E:E,MATCH(Total!B140,'SSA3'!B:B,0)),"-")</f>
        <v>76</v>
      </c>
      <c r="H140" s="15">
        <f>IFERROR(INDEX('SSA5'!E:E,MATCH(Total!B140,'SSA5'!B:B,0)),"-")</f>
        <v>53</v>
      </c>
      <c r="I140" s="15">
        <f>IFERROR(INDEX('SSA6'!E:E,MATCH(Total!B140,'SSA6'!B:B,0)),"-")</f>
        <v>20</v>
      </c>
      <c r="J140" s="15">
        <f>IFERROR(INDEX('SSA7'!E:E,MATCH(Total!B140,'SSA7'!B:B,0)),"-")</f>
        <v>56</v>
      </c>
    </row>
    <row r="141" spans="1:10" ht="22.2" customHeight="1" x14ac:dyDescent="0.55000000000000004">
      <c r="A141" s="15">
        <v>139</v>
      </c>
      <c r="B141" s="36" t="s">
        <v>503</v>
      </c>
      <c r="C141" s="37" t="s">
        <v>294</v>
      </c>
      <c r="D141" s="37" t="s">
        <v>25</v>
      </c>
      <c r="E141" s="25" t="str">
        <f>IFERROR(INDEX('SSA1'!E:E,MATCH(Total!B141,'SSA1'!B:B,0)),"-")</f>
        <v>-</v>
      </c>
      <c r="F141" s="25" t="str">
        <f>IFERROR(INDEX('SSA2'!E:E,MATCH(Total!B141,'SSA2'!B:B,0)),"-")</f>
        <v>-</v>
      </c>
      <c r="G141" s="15" t="str">
        <f>IFERROR(INDEX('SSA3'!E:E,MATCH(Total!B141,'SSA3'!B:B,0)),"-")</f>
        <v>-</v>
      </c>
      <c r="H141" s="15" t="str">
        <f>IFERROR(INDEX('SSA5'!E:E,MATCH(Total!B141,'SSA5'!B:B,0)),"-")</f>
        <v>-</v>
      </c>
      <c r="I141" s="15" t="str">
        <f>IFERROR(INDEX('SSA6'!E:E,MATCH(Total!B141,'SSA6'!B:B,0)),"-")</f>
        <v>-</v>
      </c>
      <c r="J141" s="15" t="str">
        <f>IFERROR(INDEX('SSA7'!E:E,MATCH(Total!B141,'SSA7'!B:B,0)),"-")</f>
        <v>-</v>
      </c>
    </row>
    <row r="142" spans="1:10" ht="22.2" customHeight="1" x14ac:dyDescent="0.55000000000000004">
      <c r="A142" s="15">
        <v>140</v>
      </c>
      <c r="B142" s="36" t="s">
        <v>504</v>
      </c>
      <c r="C142" s="37" t="s">
        <v>295</v>
      </c>
      <c r="D142" s="37" t="s">
        <v>22</v>
      </c>
      <c r="E142" s="25" t="str">
        <f>IFERROR(INDEX('SSA1'!E:E,MATCH(Total!B142,'SSA1'!B:B,0)),"-")</f>
        <v>-</v>
      </c>
      <c r="F142" s="25" t="str">
        <f>IFERROR(INDEX('SSA2'!E:E,MATCH(Total!B142,'SSA2'!B:B,0)),"-")</f>
        <v>-</v>
      </c>
      <c r="G142" s="15" t="str">
        <f>IFERROR(INDEX('SSA3'!E:E,MATCH(Total!B142,'SSA3'!B:B,0)),"-")</f>
        <v>-</v>
      </c>
      <c r="H142" s="15" t="str">
        <f>IFERROR(INDEX('SSA5'!E:E,MATCH(Total!B142,'SSA5'!B:B,0)),"-")</f>
        <v>-</v>
      </c>
      <c r="I142" s="15" t="str">
        <f>IFERROR(INDEX('SSA6'!E:E,MATCH(Total!B142,'SSA6'!B:B,0)),"-")</f>
        <v>-</v>
      </c>
      <c r="J142" s="15" t="str">
        <f>IFERROR(INDEX('SSA7'!E:E,MATCH(Total!B142,'SSA7'!B:B,0)),"-")</f>
        <v>-</v>
      </c>
    </row>
    <row r="143" spans="1:10" ht="22.2" customHeight="1" x14ac:dyDescent="0.55000000000000004">
      <c r="A143" s="15">
        <v>141</v>
      </c>
      <c r="B143" s="36" t="s">
        <v>73</v>
      </c>
      <c r="C143" s="37" t="s">
        <v>296</v>
      </c>
      <c r="D143" s="37" t="s">
        <v>19</v>
      </c>
      <c r="E143" s="25">
        <f>IFERROR(INDEX('SSA1'!E:E,MATCH(Total!B143,'SSA1'!B:B,0)),"-")</f>
        <v>976</v>
      </c>
      <c r="F143" s="25">
        <f>IFERROR(INDEX('SSA2'!E:E,MATCH(Total!B143,'SSA2'!B:B,0)),"-")</f>
        <v>5</v>
      </c>
      <c r="G143" s="15">
        <f>IFERROR(INDEX('SSA3'!E:E,MATCH(Total!B143,'SSA3'!B:B,0)),"-")</f>
        <v>233</v>
      </c>
      <c r="H143" s="15">
        <f>IFERROR(INDEX('SSA5'!E:E,MATCH(Total!B143,'SSA5'!B:B,0)),"-")</f>
        <v>466</v>
      </c>
      <c r="I143" s="15">
        <f>IFERROR(INDEX('SSA6'!E:E,MATCH(Total!B143,'SSA6'!B:B,0)),"-")</f>
        <v>208</v>
      </c>
      <c r="J143" s="15">
        <f>IFERROR(INDEX('SSA7'!E:E,MATCH(Total!B143,'SSA7'!B:B,0)),"-")</f>
        <v>334</v>
      </c>
    </row>
    <row r="144" spans="1:10" ht="22.2" customHeight="1" x14ac:dyDescent="0.55000000000000004">
      <c r="A144" s="15">
        <v>142</v>
      </c>
      <c r="B144" s="36" t="s">
        <v>103</v>
      </c>
      <c r="C144" s="37" t="s">
        <v>297</v>
      </c>
      <c r="D144" s="37" t="s">
        <v>19</v>
      </c>
      <c r="E144" s="25">
        <f>IFERROR(INDEX('SSA1'!E:E,MATCH(Total!B144,'SSA1'!B:B,0)),"-")</f>
        <v>1039</v>
      </c>
      <c r="F144" s="25">
        <f>IFERROR(INDEX('SSA2'!E:E,MATCH(Total!B144,'SSA2'!B:B,0)),"-")</f>
        <v>57</v>
      </c>
      <c r="G144" s="15">
        <f>IFERROR(INDEX('SSA3'!E:E,MATCH(Total!B144,'SSA3'!B:B,0)),"-")</f>
        <v>917</v>
      </c>
      <c r="H144" s="15">
        <f>IFERROR(INDEX('SSA5'!E:E,MATCH(Total!B144,'SSA5'!B:B,0)),"-")</f>
        <v>1037</v>
      </c>
      <c r="I144" s="15">
        <f>IFERROR(INDEX('SSA6'!E:E,MATCH(Total!B144,'SSA6'!B:B,0)),"-")</f>
        <v>456</v>
      </c>
      <c r="J144" s="15">
        <f>IFERROR(INDEX('SSA7'!E:E,MATCH(Total!B144,'SSA7'!B:B,0)),"-")</f>
        <v>308</v>
      </c>
    </row>
    <row r="145" spans="1:10" ht="22.2" customHeight="1" x14ac:dyDescent="0.55000000000000004">
      <c r="A145" s="15">
        <v>143</v>
      </c>
      <c r="B145" s="36" t="s">
        <v>87</v>
      </c>
      <c r="C145" s="37" t="s">
        <v>298</v>
      </c>
      <c r="D145" s="37" t="s">
        <v>25</v>
      </c>
      <c r="E145" s="25">
        <f>IFERROR(INDEX('SSA1'!E:E,MATCH(Total!B145,'SSA1'!B:B,0)),"-")</f>
        <v>351</v>
      </c>
      <c r="F145" s="25">
        <f>IFERROR(INDEX('SSA2'!E:E,MATCH(Total!B145,'SSA2'!B:B,0)),"-")</f>
        <v>12</v>
      </c>
      <c r="G145" s="15">
        <f>IFERROR(INDEX('SSA3'!E:E,MATCH(Total!B145,'SSA3'!B:B,0)),"-")</f>
        <v>246</v>
      </c>
      <c r="H145" s="15">
        <f>IFERROR(INDEX('SSA5'!E:E,MATCH(Total!B145,'SSA5'!B:B,0)),"-")</f>
        <v>297</v>
      </c>
      <c r="I145" s="15">
        <f>IFERROR(INDEX('SSA6'!E:E,MATCH(Total!B145,'SSA6'!B:B,0)),"-")</f>
        <v>134</v>
      </c>
      <c r="J145" s="15">
        <f>IFERROR(INDEX('SSA7'!E:E,MATCH(Total!B145,'SSA7'!B:B,0)),"-")</f>
        <v>165</v>
      </c>
    </row>
    <row r="146" spans="1:10" ht="22.2" customHeight="1" x14ac:dyDescent="0.55000000000000004">
      <c r="A146" s="15">
        <v>144</v>
      </c>
      <c r="B146" s="36" t="s">
        <v>62</v>
      </c>
      <c r="C146" s="37" t="s">
        <v>299</v>
      </c>
      <c r="D146" s="37" t="s">
        <v>25</v>
      </c>
      <c r="E146" s="25">
        <f>IFERROR(INDEX('SSA1'!E:E,MATCH(Total!B146,'SSA1'!B:B,0)),"-")</f>
        <v>295</v>
      </c>
      <c r="F146" s="25">
        <f>IFERROR(INDEX('SSA2'!E:E,MATCH(Total!B146,'SSA2'!B:B,0)),"-")</f>
        <v>12</v>
      </c>
      <c r="G146" s="15">
        <f>IFERROR(INDEX('SSA3'!E:E,MATCH(Total!B146,'SSA3'!B:B,0)),"-")</f>
        <v>74</v>
      </c>
      <c r="H146" s="15">
        <f>IFERROR(INDEX('SSA5'!E:E,MATCH(Total!B146,'SSA5'!B:B,0)),"-")</f>
        <v>99</v>
      </c>
      <c r="I146" s="15">
        <f>IFERROR(INDEX('SSA6'!E:E,MATCH(Total!B146,'SSA6'!B:B,0)),"-")</f>
        <v>54</v>
      </c>
      <c r="J146" s="15">
        <f>IFERROR(INDEX('SSA7'!E:E,MATCH(Total!B146,'SSA7'!B:B,0)),"-")</f>
        <v>45</v>
      </c>
    </row>
    <row r="147" spans="1:10" ht="22.2" customHeight="1" x14ac:dyDescent="0.55000000000000004">
      <c r="A147" s="15">
        <v>145</v>
      </c>
      <c r="B147" s="36" t="s">
        <v>505</v>
      </c>
      <c r="C147" s="37" t="s">
        <v>300</v>
      </c>
      <c r="D147" s="37" t="s">
        <v>4</v>
      </c>
      <c r="E147" s="25" t="str">
        <f>IFERROR(INDEX('SSA1'!E:E,MATCH(Total!B147,'SSA1'!B:B,0)),"-")</f>
        <v>-</v>
      </c>
      <c r="F147" s="25" t="str">
        <f>IFERROR(INDEX('SSA2'!E:E,MATCH(Total!B147,'SSA2'!B:B,0)),"-")</f>
        <v>-</v>
      </c>
      <c r="G147" s="15" t="str">
        <f>IFERROR(INDEX('SSA3'!E:E,MATCH(Total!B147,'SSA3'!B:B,0)),"-")</f>
        <v>-</v>
      </c>
      <c r="H147" s="15" t="str">
        <f>IFERROR(INDEX('SSA5'!E:E,MATCH(Total!B147,'SSA5'!B:B,0)),"-")</f>
        <v>-</v>
      </c>
      <c r="I147" s="15" t="str">
        <f>IFERROR(INDEX('SSA6'!E:E,MATCH(Total!B147,'SSA6'!B:B,0)),"-")</f>
        <v>-</v>
      </c>
      <c r="J147" s="15" t="str">
        <f>IFERROR(INDEX('SSA7'!E:E,MATCH(Total!B147,'SSA7'!B:B,0)),"-")</f>
        <v>-</v>
      </c>
    </row>
    <row r="148" spans="1:10" ht="22.2" customHeight="1" x14ac:dyDescent="0.55000000000000004">
      <c r="A148" s="15">
        <v>146</v>
      </c>
      <c r="B148" s="36" t="s">
        <v>60</v>
      </c>
      <c r="C148" s="37" t="s">
        <v>301</v>
      </c>
      <c r="D148" s="37" t="s">
        <v>19</v>
      </c>
      <c r="E148" s="25">
        <f>IFERROR(INDEX('SSA1'!E:E,MATCH(Total!B148,'SSA1'!B:B,0)),"-")</f>
        <v>1112</v>
      </c>
      <c r="F148" s="25">
        <f>IFERROR(INDEX('SSA2'!E:E,MATCH(Total!B148,'SSA2'!B:B,0)),"-")</f>
        <v>41</v>
      </c>
      <c r="G148" s="15">
        <f>IFERROR(INDEX('SSA3'!E:E,MATCH(Total!B148,'SSA3'!B:B,0)),"-")</f>
        <v>218</v>
      </c>
      <c r="H148" s="15">
        <f>IFERROR(INDEX('SSA5'!E:E,MATCH(Total!B148,'SSA5'!B:B,0)),"-")</f>
        <v>949</v>
      </c>
      <c r="I148" s="15">
        <f>IFERROR(INDEX('SSA6'!E:E,MATCH(Total!B148,'SSA6'!B:B,0)),"-")</f>
        <v>253</v>
      </c>
      <c r="J148" s="15">
        <f>IFERROR(INDEX('SSA7'!E:E,MATCH(Total!B148,'SSA7'!B:B,0)),"-")</f>
        <v>394</v>
      </c>
    </row>
    <row r="149" spans="1:10" ht="22.2" customHeight="1" x14ac:dyDescent="0.55000000000000004">
      <c r="A149" s="15">
        <v>147</v>
      </c>
      <c r="B149" s="36" t="s">
        <v>71</v>
      </c>
      <c r="C149" s="37" t="s">
        <v>302</v>
      </c>
      <c r="D149" s="37" t="s">
        <v>25</v>
      </c>
      <c r="E149" s="25">
        <f>IFERROR(INDEX('SSA1'!E:E,MATCH(Total!B149,'SSA1'!B:B,0)),"-")</f>
        <v>100</v>
      </c>
      <c r="F149" s="25">
        <f>IFERROR(INDEX('SSA2'!E:E,MATCH(Total!B149,'SSA2'!B:B,0)),"-")</f>
        <v>6</v>
      </c>
      <c r="G149" s="15">
        <f>IFERROR(INDEX('SSA3'!E:E,MATCH(Total!B149,'SSA3'!B:B,0)),"-")</f>
        <v>64</v>
      </c>
      <c r="H149" s="15">
        <f>IFERROR(INDEX('SSA5'!E:E,MATCH(Total!B149,'SSA5'!B:B,0)),"-")</f>
        <v>98</v>
      </c>
      <c r="I149" s="15">
        <f>IFERROR(INDEX('SSA6'!E:E,MATCH(Total!B149,'SSA6'!B:B,0)),"-")</f>
        <v>30</v>
      </c>
      <c r="J149" s="15">
        <f>IFERROR(INDEX('SSA7'!E:E,MATCH(Total!B149,'SSA7'!B:B,0)),"-")</f>
        <v>54</v>
      </c>
    </row>
    <row r="150" spans="1:10" ht="22.2" customHeight="1" x14ac:dyDescent="0.55000000000000004">
      <c r="A150" s="15">
        <v>148</v>
      </c>
      <c r="B150" s="36" t="s">
        <v>69</v>
      </c>
      <c r="C150" s="37" t="s">
        <v>303</v>
      </c>
      <c r="D150" s="37" t="s">
        <v>25</v>
      </c>
      <c r="E150" s="25">
        <f>IFERROR(INDEX('SSA1'!E:E,MATCH(Total!B150,'SSA1'!B:B,0)),"-")</f>
        <v>52</v>
      </c>
      <c r="F150" s="25">
        <f>IFERROR(INDEX('SSA2'!E:E,MATCH(Total!B150,'SSA2'!B:B,0)),"-")</f>
        <v>1</v>
      </c>
      <c r="G150" s="15">
        <f>IFERROR(INDEX('SSA3'!E:E,MATCH(Total!B150,'SSA3'!B:B,0)),"-")</f>
        <v>6</v>
      </c>
      <c r="H150" s="15">
        <f>IFERROR(INDEX('SSA5'!E:E,MATCH(Total!B150,'SSA5'!B:B,0)),"-")</f>
        <v>56</v>
      </c>
      <c r="I150" s="15">
        <f>IFERROR(INDEX('SSA6'!E:E,MATCH(Total!B150,'SSA6'!B:B,0)),"-")</f>
        <v>12</v>
      </c>
      <c r="J150" s="15">
        <f>IFERROR(INDEX('SSA7'!E:E,MATCH(Total!B150,'SSA7'!B:B,0)),"-")</f>
        <v>25</v>
      </c>
    </row>
    <row r="151" spans="1:10" ht="22.2" customHeight="1" x14ac:dyDescent="0.55000000000000004">
      <c r="A151" s="15">
        <v>149</v>
      </c>
      <c r="B151" s="36" t="s">
        <v>81</v>
      </c>
      <c r="C151" s="37" t="s">
        <v>304</v>
      </c>
      <c r="D151" s="37" t="s">
        <v>25</v>
      </c>
      <c r="E151" s="25">
        <f>IFERROR(INDEX('SSA1'!E:E,MATCH(Total!B151,'SSA1'!B:B,0)),"-")</f>
        <v>133</v>
      </c>
      <c r="F151" s="25">
        <f>IFERROR(INDEX('SSA2'!E:E,MATCH(Total!B151,'SSA2'!B:B,0)),"-")</f>
        <v>8</v>
      </c>
      <c r="G151" s="15">
        <f>IFERROR(INDEX('SSA3'!E:E,MATCH(Total!B151,'SSA3'!B:B,0)),"-")</f>
        <v>121</v>
      </c>
      <c r="H151" s="15">
        <f>IFERROR(INDEX('SSA5'!E:E,MATCH(Total!B151,'SSA5'!B:B,0)),"-")</f>
        <v>64</v>
      </c>
      <c r="I151" s="15">
        <f>IFERROR(INDEX('SSA6'!E:E,MATCH(Total!B151,'SSA6'!B:B,0)),"-")</f>
        <v>35</v>
      </c>
      <c r="J151" s="15">
        <f>IFERROR(INDEX('SSA7'!E:E,MATCH(Total!B151,'SSA7'!B:B,0)),"-")</f>
        <v>37</v>
      </c>
    </row>
    <row r="152" spans="1:10" ht="22.2" customHeight="1" x14ac:dyDescent="0.55000000000000004">
      <c r="A152" s="15">
        <v>150</v>
      </c>
      <c r="B152" s="36" t="s">
        <v>77</v>
      </c>
      <c r="C152" s="37" t="s">
        <v>305</v>
      </c>
      <c r="D152" s="37" t="s">
        <v>25</v>
      </c>
      <c r="E152" s="25">
        <f>IFERROR(INDEX('SSA1'!E:E,MATCH(Total!B152,'SSA1'!B:B,0)),"-")</f>
        <v>33</v>
      </c>
      <c r="F152" s="25" t="str">
        <f>IFERROR(INDEX('SSA2'!E:E,MATCH(Total!B152,'SSA2'!B:B,0)),"-")</f>
        <v>-</v>
      </c>
      <c r="G152" s="15">
        <f>IFERROR(INDEX('SSA3'!E:E,MATCH(Total!B152,'SSA3'!B:B,0)),"-")</f>
        <v>12</v>
      </c>
      <c r="H152" s="15">
        <f>IFERROR(INDEX('SSA5'!E:E,MATCH(Total!B152,'SSA5'!B:B,0)),"-")</f>
        <v>50</v>
      </c>
      <c r="I152" s="15">
        <f>IFERROR(INDEX('SSA6'!E:E,MATCH(Total!B152,'SSA6'!B:B,0)),"-")</f>
        <v>2</v>
      </c>
      <c r="J152" s="15">
        <f>IFERROR(INDEX('SSA7'!E:E,MATCH(Total!B152,'SSA7'!B:B,0)),"-")</f>
        <v>12</v>
      </c>
    </row>
    <row r="153" spans="1:10" ht="22.2" customHeight="1" x14ac:dyDescent="0.55000000000000004">
      <c r="A153" s="15">
        <v>151</v>
      </c>
      <c r="B153" s="36" t="s">
        <v>26</v>
      </c>
      <c r="C153" s="37" t="s">
        <v>306</v>
      </c>
      <c r="D153" s="37" t="s">
        <v>19</v>
      </c>
      <c r="E153" s="25">
        <f>IFERROR(INDEX('SSA1'!E:E,MATCH(Total!B153,'SSA1'!B:B,0)),"-")</f>
        <v>579</v>
      </c>
      <c r="F153" s="25">
        <f>IFERROR(INDEX('SSA2'!E:E,MATCH(Total!B153,'SSA2'!B:B,0)),"-")</f>
        <v>2</v>
      </c>
      <c r="G153" s="15">
        <f>IFERROR(INDEX('SSA3'!E:E,MATCH(Total!B153,'SSA3'!B:B,0)),"-")</f>
        <v>220</v>
      </c>
      <c r="H153" s="15">
        <f>IFERROR(INDEX('SSA5'!E:E,MATCH(Total!B153,'SSA5'!B:B,0)),"-")</f>
        <v>352</v>
      </c>
      <c r="I153" s="15">
        <f>IFERROR(INDEX('SSA6'!E:E,MATCH(Total!B153,'SSA6'!B:B,0)),"-")</f>
        <v>42</v>
      </c>
      <c r="J153" s="15">
        <f>IFERROR(INDEX('SSA7'!E:E,MATCH(Total!B153,'SSA7'!B:B,0)),"-")</f>
        <v>264</v>
      </c>
    </row>
    <row r="154" spans="1:10" ht="22.2" customHeight="1" x14ac:dyDescent="0.55000000000000004">
      <c r="A154" s="15">
        <v>152</v>
      </c>
      <c r="B154" s="36" t="s">
        <v>506</v>
      </c>
      <c r="C154" s="37" t="s">
        <v>307</v>
      </c>
      <c r="D154" s="37" t="s">
        <v>4</v>
      </c>
      <c r="E154" s="25" t="str">
        <f>IFERROR(INDEX('SSA1'!E:E,MATCH(Total!B154,'SSA1'!B:B,0)),"-")</f>
        <v>-</v>
      </c>
      <c r="F154" s="25" t="str">
        <f>IFERROR(INDEX('SSA2'!E:E,MATCH(Total!B154,'SSA2'!B:B,0)),"-")</f>
        <v>-</v>
      </c>
      <c r="G154" s="15" t="str">
        <f>IFERROR(INDEX('SSA3'!E:E,MATCH(Total!B154,'SSA3'!B:B,0)),"-")</f>
        <v>-</v>
      </c>
      <c r="H154" s="15" t="str">
        <f>IFERROR(INDEX('SSA5'!E:E,MATCH(Total!B154,'SSA5'!B:B,0)),"-")</f>
        <v>-</v>
      </c>
      <c r="I154" s="15" t="str">
        <f>IFERROR(INDEX('SSA6'!E:E,MATCH(Total!B154,'SSA6'!B:B,0)),"-")</f>
        <v>-</v>
      </c>
      <c r="J154" s="15" t="str">
        <f>IFERROR(INDEX('SSA7'!E:E,MATCH(Total!B154,'SSA7'!B:B,0)),"-")</f>
        <v>-</v>
      </c>
    </row>
    <row r="155" spans="1:10" ht="22.2" customHeight="1" x14ac:dyDescent="0.55000000000000004">
      <c r="A155" s="15">
        <v>153</v>
      </c>
      <c r="B155" s="36" t="s">
        <v>40</v>
      </c>
      <c r="C155" s="37" t="s">
        <v>308</v>
      </c>
      <c r="D155" s="37" t="s">
        <v>19</v>
      </c>
      <c r="E155" s="25">
        <f>IFERROR(INDEX('SSA1'!E:E,MATCH(Total!B155,'SSA1'!B:B,0)),"-")</f>
        <v>1721</v>
      </c>
      <c r="F155" s="25">
        <f>IFERROR(INDEX('SSA2'!E:E,MATCH(Total!B155,'SSA2'!B:B,0)),"-")</f>
        <v>9</v>
      </c>
      <c r="G155" s="15">
        <f>IFERROR(INDEX('SSA3'!E:E,MATCH(Total!B155,'SSA3'!B:B,0)),"-")</f>
        <v>279</v>
      </c>
      <c r="H155" s="15">
        <f>IFERROR(INDEX('SSA5'!E:E,MATCH(Total!B155,'SSA5'!B:B,0)),"-")</f>
        <v>316</v>
      </c>
      <c r="I155" s="15">
        <f>IFERROR(INDEX('SSA6'!E:E,MATCH(Total!B155,'SSA6'!B:B,0)),"-")</f>
        <v>99</v>
      </c>
      <c r="J155" s="15">
        <f>IFERROR(INDEX('SSA7'!E:E,MATCH(Total!B155,'SSA7'!B:B,0)),"-")</f>
        <v>537</v>
      </c>
    </row>
    <row r="156" spans="1:10" ht="22.2" customHeight="1" x14ac:dyDescent="0.55000000000000004">
      <c r="A156" s="15">
        <v>154</v>
      </c>
      <c r="B156" s="36" t="s">
        <v>507</v>
      </c>
      <c r="C156" s="37" t="s">
        <v>309</v>
      </c>
      <c r="D156" s="37" t="s">
        <v>577</v>
      </c>
      <c r="E156" s="25" t="str">
        <f>IFERROR(INDEX('SSA1'!E:E,MATCH(Total!B156,'SSA1'!B:B,0)),"-")</f>
        <v>-</v>
      </c>
      <c r="F156" s="25" t="str">
        <f>IFERROR(INDEX('SSA2'!E:E,MATCH(Total!B156,'SSA2'!B:B,0)),"-")</f>
        <v>-</v>
      </c>
      <c r="G156" s="15" t="str">
        <f>IFERROR(INDEX('SSA3'!E:E,MATCH(Total!B156,'SSA3'!B:B,0)),"-")</f>
        <v>-</v>
      </c>
      <c r="H156" s="15" t="str">
        <f>IFERROR(INDEX('SSA5'!E:E,MATCH(Total!B156,'SSA5'!B:B,0)),"-")</f>
        <v>-</v>
      </c>
      <c r="I156" s="15" t="str">
        <f>IFERROR(INDEX('SSA6'!E:E,MATCH(Total!B156,'SSA6'!B:B,0)),"-")</f>
        <v>-</v>
      </c>
      <c r="J156" s="15" t="str">
        <f>IFERROR(INDEX('SSA7'!E:E,MATCH(Total!B156,'SSA7'!B:B,0)),"-")</f>
        <v>-</v>
      </c>
    </row>
    <row r="157" spans="1:10" ht="22.2" customHeight="1" x14ac:dyDescent="0.55000000000000004">
      <c r="A157" s="15">
        <v>155</v>
      </c>
      <c r="B157" s="36" t="s">
        <v>508</v>
      </c>
      <c r="C157" s="37" t="s">
        <v>310</v>
      </c>
      <c r="D157" s="37" t="s">
        <v>19</v>
      </c>
      <c r="E157" s="25" t="str">
        <f>IFERROR(INDEX('SSA1'!E:E,MATCH(Total!B157,'SSA1'!B:B,0)),"-")</f>
        <v>-</v>
      </c>
      <c r="F157" s="25" t="str">
        <f>IFERROR(INDEX('SSA2'!E:E,MATCH(Total!B157,'SSA2'!B:B,0)),"-")</f>
        <v>-</v>
      </c>
      <c r="G157" s="15" t="str">
        <f>IFERROR(INDEX('SSA3'!E:E,MATCH(Total!B157,'SSA3'!B:B,0)),"-")</f>
        <v>-</v>
      </c>
      <c r="H157" s="15" t="str">
        <f>IFERROR(INDEX('SSA5'!E:E,MATCH(Total!B157,'SSA5'!B:B,0)),"-")</f>
        <v>-</v>
      </c>
      <c r="I157" s="15" t="str">
        <f>IFERROR(INDEX('SSA6'!E:E,MATCH(Total!B157,'SSA6'!B:B,0)),"-")</f>
        <v>-</v>
      </c>
      <c r="J157" s="15" t="str">
        <f>IFERROR(INDEX('SSA7'!E:E,MATCH(Total!B157,'SSA7'!B:B,0)),"-")</f>
        <v>-</v>
      </c>
    </row>
    <row r="158" spans="1:10" ht="22.2" customHeight="1" x14ac:dyDescent="0.55000000000000004">
      <c r="A158" s="15">
        <v>156</v>
      </c>
      <c r="B158" s="36" t="s">
        <v>509</v>
      </c>
      <c r="C158" s="37" t="s">
        <v>311</v>
      </c>
      <c r="D158" s="37" t="s">
        <v>22</v>
      </c>
      <c r="E158" s="25" t="str">
        <f>IFERROR(INDEX('SSA1'!E:E,MATCH(Total!B158,'SSA1'!B:B,0)),"-")</f>
        <v>-</v>
      </c>
      <c r="F158" s="25" t="str">
        <f>IFERROR(INDEX('SSA2'!E:E,MATCH(Total!B158,'SSA2'!B:B,0)),"-")</f>
        <v>-</v>
      </c>
      <c r="G158" s="15" t="str">
        <f>IFERROR(INDEX('SSA3'!E:E,MATCH(Total!B158,'SSA3'!B:B,0)),"-")</f>
        <v>-</v>
      </c>
      <c r="H158" s="15" t="str">
        <f>IFERROR(INDEX('SSA5'!E:E,MATCH(Total!B158,'SSA5'!B:B,0)),"-")</f>
        <v>-</v>
      </c>
      <c r="I158" s="15" t="str">
        <f>IFERROR(INDEX('SSA6'!E:E,MATCH(Total!B158,'SSA6'!B:B,0)),"-")</f>
        <v>-</v>
      </c>
      <c r="J158" s="15" t="str">
        <f>IFERROR(INDEX('SSA7'!E:E,MATCH(Total!B158,'SSA7'!B:B,0)),"-")</f>
        <v>-</v>
      </c>
    </row>
    <row r="159" spans="1:10" ht="22.2" customHeight="1" x14ac:dyDescent="0.55000000000000004">
      <c r="A159" s="15">
        <v>157</v>
      </c>
      <c r="B159" s="36" t="s">
        <v>510</v>
      </c>
      <c r="C159" s="37" t="s">
        <v>312</v>
      </c>
      <c r="D159" s="37" t="s">
        <v>19</v>
      </c>
      <c r="E159" s="25" t="str">
        <f>IFERROR(INDEX('SSA1'!E:E,MATCH(Total!B159,'SSA1'!B:B,0)),"-")</f>
        <v>-</v>
      </c>
      <c r="F159" s="25" t="str">
        <f>IFERROR(INDEX('SSA2'!E:E,MATCH(Total!B159,'SSA2'!B:B,0)),"-")</f>
        <v>-</v>
      </c>
      <c r="G159" s="15" t="str">
        <f>IFERROR(INDEX('SSA3'!E:E,MATCH(Total!B159,'SSA3'!B:B,0)),"-")</f>
        <v>-</v>
      </c>
      <c r="H159" s="15" t="str">
        <f>IFERROR(INDEX('SSA5'!E:E,MATCH(Total!B159,'SSA5'!B:B,0)),"-")</f>
        <v>-</v>
      </c>
      <c r="I159" s="15" t="str">
        <f>IFERROR(INDEX('SSA6'!E:E,MATCH(Total!B159,'SSA6'!B:B,0)),"-")</f>
        <v>-</v>
      </c>
      <c r="J159" s="15" t="str">
        <f>IFERROR(INDEX('SSA7'!E:E,MATCH(Total!B159,'SSA7'!B:B,0)),"-")</f>
        <v>-</v>
      </c>
    </row>
    <row r="160" spans="1:10" ht="22.2" customHeight="1" x14ac:dyDescent="0.55000000000000004">
      <c r="A160" s="15">
        <v>158</v>
      </c>
      <c r="B160" s="36" t="s">
        <v>511</v>
      </c>
      <c r="C160" s="37" t="s">
        <v>313</v>
      </c>
      <c r="D160" s="37" t="s">
        <v>580</v>
      </c>
      <c r="E160" s="25" t="str">
        <f>IFERROR(INDEX('SSA1'!E:E,MATCH(Total!B160,'SSA1'!B:B,0)),"-")</f>
        <v>-</v>
      </c>
      <c r="F160" s="25" t="str">
        <f>IFERROR(INDEX('SSA2'!E:E,MATCH(Total!B160,'SSA2'!B:B,0)),"-")</f>
        <v>-</v>
      </c>
      <c r="G160" s="15" t="str">
        <f>IFERROR(INDEX('SSA3'!E:E,MATCH(Total!B160,'SSA3'!B:B,0)),"-")</f>
        <v>-</v>
      </c>
      <c r="H160" s="15" t="str">
        <f>IFERROR(INDEX('SSA5'!E:E,MATCH(Total!B160,'SSA5'!B:B,0)),"-")</f>
        <v>-</v>
      </c>
      <c r="I160" s="15" t="str">
        <f>IFERROR(INDEX('SSA6'!E:E,MATCH(Total!B160,'SSA6'!B:B,0)),"-")</f>
        <v>-</v>
      </c>
      <c r="J160" s="15" t="str">
        <f>IFERROR(INDEX('SSA7'!E:E,MATCH(Total!B160,'SSA7'!B:B,0)),"-")</f>
        <v>-</v>
      </c>
    </row>
    <row r="161" spans="1:10" ht="22.2" customHeight="1" x14ac:dyDescent="0.55000000000000004">
      <c r="A161" s="15">
        <v>159</v>
      </c>
      <c r="B161" s="36" t="s">
        <v>512</v>
      </c>
      <c r="C161" s="37" t="s">
        <v>314</v>
      </c>
      <c r="D161" s="37" t="s">
        <v>19</v>
      </c>
      <c r="E161" s="25" t="str">
        <f>IFERROR(INDEX('SSA1'!E:E,MATCH(Total!B161,'SSA1'!B:B,0)),"-")</f>
        <v>-</v>
      </c>
      <c r="F161" s="25" t="str">
        <f>IFERROR(INDEX('SSA2'!E:E,MATCH(Total!B161,'SSA2'!B:B,0)),"-")</f>
        <v>-</v>
      </c>
      <c r="G161" s="15" t="str">
        <f>IFERROR(INDEX('SSA3'!E:E,MATCH(Total!B161,'SSA3'!B:B,0)),"-")</f>
        <v>-</v>
      </c>
      <c r="H161" s="15" t="str">
        <f>IFERROR(INDEX('SSA5'!E:E,MATCH(Total!B161,'SSA5'!B:B,0)),"-")</f>
        <v>-</v>
      </c>
      <c r="I161" s="15" t="str">
        <f>IFERROR(INDEX('SSA6'!E:E,MATCH(Total!B161,'SSA6'!B:B,0)),"-")</f>
        <v>-</v>
      </c>
      <c r="J161" s="15" t="str">
        <f>IFERROR(INDEX('SSA7'!E:E,MATCH(Total!B161,'SSA7'!B:B,0)),"-")</f>
        <v>-</v>
      </c>
    </row>
    <row r="162" spans="1:10" ht="22.2" customHeight="1" x14ac:dyDescent="0.55000000000000004">
      <c r="A162" s="15">
        <v>160</v>
      </c>
      <c r="B162" s="36" t="s">
        <v>513</v>
      </c>
      <c r="C162" s="37" t="s">
        <v>315</v>
      </c>
      <c r="D162" s="37" t="s">
        <v>22</v>
      </c>
      <c r="E162" s="25" t="str">
        <f>IFERROR(INDEX('SSA1'!E:E,MATCH(Total!B162,'SSA1'!B:B,0)),"-")</f>
        <v>-</v>
      </c>
      <c r="F162" s="25" t="str">
        <f>IFERROR(INDEX('SSA2'!E:E,MATCH(Total!B162,'SSA2'!B:B,0)),"-")</f>
        <v>-</v>
      </c>
      <c r="G162" s="15" t="str">
        <f>IFERROR(INDEX('SSA3'!E:E,MATCH(Total!B162,'SSA3'!B:B,0)),"-")</f>
        <v>-</v>
      </c>
      <c r="H162" s="15" t="str">
        <f>IFERROR(INDEX('SSA5'!E:E,MATCH(Total!B162,'SSA5'!B:B,0)),"-")</f>
        <v>-</v>
      </c>
      <c r="I162" s="15" t="str">
        <f>IFERROR(INDEX('SSA6'!E:E,MATCH(Total!B162,'SSA6'!B:B,0)),"-")</f>
        <v>-</v>
      </c>
      <c r="J162" s="15" t="str">
        <f>IFERROR(INDEX('SSA7'!E:E,MATCH(Total!B162,'SSA7'!B:B,0)),"-")</f>
        <v>-</v>
      </c>
    </row>
    <row r="163" spans="1:10" ht="22.2" customHeight="1" x14ac:dyDescent="0.55000000000000004">
      <c r="A163" s="15">
        <v>161</v>
      </c>
      <c r="B163" s="36" t="s">
        <v>514</v>
      </c>
      <c r="C163" s="37" t="s">
        <v>316</v>
      </c>
      <c r="D163" s="37" t="s">
        <v>19</v>
      </c>
      <c r="E163" s="25" t="str">
        <f>IFERROR(INDEX('SSA1'!E:E,MATCH(Total!B163,'SSA1'!B:B,0)),"-")</f>
        <v>-</v>
      </c>
      <c r="F163" s="25" t="str">
        <f>IFERROR(INDEX('SSA2'!E:E,MATCH(Total!B163,'SSA2'!B:B,0)),"-")</f>
        <v>-</v>
      </c>
      <c r="G163" s="15" t="str">
        <f>IFERROR(INDEX('SSA3'!E:E,MATCH(Total!B163,'SSA3'!B:B,0)),"-")</f>
        <v>-</v>
      </c>
      <c r="H163" s="15" t="str">
        <f>IFERROR(INDEX('SSA5'!E:E,MATCH(Total!B163,'SSA5'!B:B,0)),"-")</f>
        <v>-</v>
      </c>
      <c r="I163" s="15" t="str">
        <f>IFERROR(INDEX('SSA6'!E:E,MATCH(Total!B163,'SSA6'!B:B,0)),"-")</f>
        <v>-</v>
      </c>
      <c r="J163" s="15" t="str">
        <f>IFERROR(INDEX('SSA7'!E:E,MATCH(Total!B163,'SSA7'!B:B,0)),"-")</f>
        <v>-</v>
      </c>
    </row>
    <row r="164" spans="1:10" ht="22.2" customHeight="1" x14ac:dyDescent="0.55000000000000004">
      <c r="A164" s="15">
        <v>162</v>
      </c>
      <c r="B164" s="36" t="s">
        <v>515</v>
      </c>
      <c r="C164" s="37" t="s">
        <v>317</v>
      </c>
      <c r="D164" s="37" t="s">
        <v>19</v>
      </c>
      <c r="E164" s="25" t="str">
        <f>IFERROR(INDEX('SSA1'!E:E,MATCH(Total!B164,'SSA1'!B:B,0)),"-")</f>
        <v>-</v>
      </c>
      <c r="F164" s="25" t="str">
        <f>IFERROR(INDEX('SSA2'!E:E,MATCH(Total!B164,'SSA2'!B:B,0)),"-")</f>
        <v>-</v>
      </c>
      <c r="G164" s="15" t="str">
        <f>IFERROR(INDEX('SSA3'!E:E,MATCH(Total!B164,'SSA3'!B:B,0)),"-")</f>
        <v>-</v>
      </c>
      <c r="H164" s="15" t="str">
        <f>IFERROR(INDEX('SSA5'!E:E,MATCH(Total!B164,'SSA5'!B:B,0)),"-")</f>
        <v>-</v>
      </c>
      <c r="I164" s="15" t="str">
        <f>IFERROR(INDEX('SSA6'!E:E,MATCH(Total!B164,'SSA6'!B:B,0)),"-")</f>
        <v>-</v>
      </c>
      <c r="J164" s="15" t="str">
        <f>IFERROR(INDEX('SSA7'!E:E,MATCH(Total!B164,'SSA7'!B:B,0)),"-")</f>
        <v>-</v>
      </c>
    </row>
    <row r="165" spans="1:10" ht="22.2" customHeight="1" x14ac:dyDescent="0.55000000000000004">
      <c r="A165" s="15">
        <v>163</v>
      </c>
      <c r="B165" s="36" t="s">
        <v>516</v>
      </c>
      <c r="C165" s="37" t="s">
        <v>318</v>
      </c>
      <c r="D165" s="37" t="s">
        <v>19</v>
      </c>
      <c r="E165" s="25" t="str">
        <f>IFERROR(INDEX('SSA1'!E:E,MATCH(Total!B165,'SSA1'!B:B,0)),"-")</f>
        <v>-</v>
      </c>
      <c r="F165" s="25" t="str">
        <f>IFERROR(INDEX('SSA2'!E:E,MATCH(Total!B165,'SSA2'!B:B,0)),"-")</f>
        <v>-</v>
      </c>
      <c r="G165" s="15" t="str">
        <f>IFERROR(INDEX('SSA3'!E:E,MATCH(Total!B165,'SSA3'!B:B,0)),"-")</f>
        <v>-</v>
      </c>
      <c r="H165" s="15">
        <f>IFERROR(INDEX('SSA5'!E:E,MATCH(Total!B165,'SSA5'!B:B,0)),"-")</f>
        <v>193</v>
      </c>
      <c r="I165" s="15">
        <f>IFERROR(INDEX('SSA6'!E:E,MATCH(Total!B165,'SSA6'!B:B,0)),"-")</f>
        <v>7</v>
      </c>
      <c r="J165" s="15" t="str">
        <f>IFERROR(INDEX('SSA7'!E:E,MATCH(Total!B165,'SSA7'!B:B,0)),"-")</f>
        <v>-</v>
      </c>
    </row>
    <row r="166" spans="1:10" ht="22.2" customHeight="1" x14ac:dyDescent="0.55000000000000004">
      <c r="A166" s="15">
        <v>164</v>
      </c>
      <c r="B166" s="36" t="s">
        <v>517</v>
      </c>
      <c r="C166" s="37" t="s">
        <v>319</v>
      </c>
      <c r="D166" s="37" t="s">
        <v>19</v>
      </c>
      <c r="E166" s="25" t="str">
        <f>IFERROR(INDEX('SSA1'!E:E,MATCH(Total!B166,'SSA1'!B:B,0)),"-")</f>
        <v>-</v>
      </c>
      <c r="F166" s="25" t="str">
        <f>IFERROR(INDEX('SSA2'!E:E,MATCH(Total!B166,'SSA2'!B:B,0)),"-")</f>
        <v>-</v>
      </c>
      <c r="G166" s="15" t="str">
        <f>IFERROR(INDEX('SSA3'!E:E,MATCH(Total!B166,'SSA3'!B:B,0)),"-")</f>
        <v>-</v>
      </c>
      <c r="H166" s="15" t="str">
        <f>IFERROR(INDEX('SSA5'!E:E,MATCH(Total!B166,'SSA5'!B:B,0)),"-")</f>
        <v>-</v>
      </c>
      <c r="I166" s="15" t="str">
        <f>IFERROR(INDEX('SSA6'!E:E,MATCH(Total!B166,'SSA6'!B:B,0)),"-")</f>
        <v>-</v>
      </c>
      <c r="J166" s="15" t="str">
        <f>IFERROR(INDEX('SSA7'!E:E,MATCH(Total!B166,'SSA7'!B:B,0)),"-")</f>
        <v>-</v>
      </c>
    </row>
    <row r="167" spans="1:10" ht="22.2" customHeight="1" x14ac:dyDescent="0.55000000000000004">
      <c r="A167" s="15">
        <v>165</v>
      </c>
      <c r="B167" s="36" t="s">
        <v>518</v>
      </c>
      <c r="C167" s="37" t="s">
        <v>320</v>
      </c>
      <c r="D167" s="37" t="s">
        <v>577</v>
      </c>
      <c r="E167" s="25" t="str">
        <f>IFERROR(INDEX('SSA1'!E:E,MATCH(Total!B167,'SSA1'!B:B,0)),"-")</f>
        <v>-</v>
      </c>
      <c r="F167" s="25" t="str">
        <f>IFERROR(INDEX('SSA2'!E:E,MATCH(Total!B167,'SSA2'!B:B,0)),"-")</f>
        <v>-</v>
      </c>
      <c r="G167" s="15" t="str">
        <f>IFERROR(INDEX('SSA3'!E:E,MATCH(Total!B167,'SSA3'!B:B,0)),"-")</f>
        <v>-</v>
      </c>
      <c r="H167" s="15" t="str">
        <f>IFERROR(INDEX('SSA5'!E:E,MATCH(Total!B167,'SSA5'!B:B,0)),"-")</f>
        <v>-</v>
      </c>
      <c r="I167" s="15" t="str">
        <f>IFERROR(INDEX('SSA6'!E:E,MATCH(Total!B167,'SSA6'!B:B,0)),"-")</f>
        <v>-</v>
      </c>
      <c r="J167" s="15" t="str">
        <f>IFERROR(INDEX('SSA7'!E:E,MATCH(Total!B167,'SSA7'!B:B,0)),"-")</f>
        <v>-</v>
      </c>
    </row>
    <row r="168" spans="1:10" ht="22.2" customHeight="1" x14ac:dyDescent="0.55000000000000004">
      <c r="A168" s="15">
        <v>166</v>
      </c>
      <c r="B168" s="36" t="s">
        <v>519</v>
      </c>
      <c r="C168" s="37" t="s">
        <v>321</v>
      </c>
      <c r="D168" s="37" t="s">
        <v>577</v>
      </c>
      <c r="E168" s="25" t="str">
        <f>IFERROR(INDEX('SSA1'!E:E,MATCH(Total!B168,'SSA1'!B:B,0)),"-")</f>
        <v>-</v>
      </c>
      <c r="F168" s="25" t="str">
        <f>IFERROR(INDEX('SSA2'!E:E,MATCH(Total!B168,'SSA2'!B:B,0)),"-")</f>
        <v>-</v>
      </c>
      <c r="G168" s="15" t="str">
        <f>IFERROR(INDEX('SSA3'!E:E,MATCH(Total!B168,'SSA3'!B:B,0)),"-")</f>
        <v>-</v>
      </c>
      <c r="H168" s="15" t="str">
        <f>IFERROR(INDEX('SSA5'!E:E,MATCH(Total!B168,'SSA5'!B:B,0)),"-")</f>
        <v>-</v>
      </c>
      <c r="I168" s="15" t="str">
        <f>IFERROR(INDEX('SSA6'!E:E,MATCH(Total!B168,'SSA6'!B:B,0)),"-")</f>
        <v>-</v>
      </c>
      <c r="J168" s="15" t="str">
        <f>IFERROR(INDEX('SSA7'!E:E,MATCH(Total!B168,'SSA7'!B:B,0)),"-")</f>
        <v>-</v>
      </c>
    </row>
    <row r="169" spans="1:10" ht="22.2" customHeight="1" x14ac:dyDescent="0.55000000000000004">
      <c r="A169" s="15">
        <v>167</v>
      </c>
      <c r="B169" s="36" t="s">
        <v>520</v>
      </c>
      <c r="C169" s="37" t="s">
        <v>322</v>
      </c>
      <c r="D169" s="37" t="s">
        <v>22</v>
      </c>
      <c r="E169" s="25" t="str">
        <f>IFERROR(INDEX('SSA1'!E:E,MATCH(Total!B169,'SSA1'!B:B,0)),"-")</f>
        <v>-</v>
      </c>
      <c r="F169" s="25" t="str">
        <f>IFERROR(INDEX('SSA2'!E:E,MATCH(Total!B169,'SSA2'!B:B,0)),"-")</f>
        <v>-</v>
      </c>
      <c r="G169" s="15" t="str">
        <f>IFERROR(INDEX('SSA3'!E:E,MATCH(Total!B169,'SSA3'!B:B,0)),"-")</f>
        <v>-</v>
      </c>
      <c r="H169" s="15" t="str">
        <f>IFERROR(INDEX('SSA5'!E:E,MATCH(Total!B169,'SSA5'!B:B,0)),"-")</f>
        <v>-</v>
      </c>
      <c r="I169" s="15" t="str">
        <f>IFERROR(INDEX('SSA6'!E:E,MATCH(Total!B169,'SSA6'!B:B,0)),"-")</f>
        <v>-</v>
      </c>
      <c r="J169" s="15" t="str">
        <f>IFERROR(INDEX('SSA7'!E:E,MATCH(Total!B169,'SSA7'!B:B,0)),"-")</f>
        <v>-</v>
      </c>
    </row>
    <row r="170" spans="1:10" ht="22.2" customHeight="1" x14ac:dyDescent="0.55000000000000004">
      <c r="A170" s="15">
        <v>168</v>
      </c>
      <c r="B170" s="36" t="s">
        <v>521</v>
      </c>
      <c r="C170" s="37" t="s">
        <v>323</v>
      </c>
      <c r="D170" s="37" t="s">
        <v>19</v>
      </c>
      <c r="E170" s="25" t="str">
        <f>IFERROR(INDEX('SSA1'!E:E,MATCH(Total!B170,'SSA1'!B:B,0)),"-")</f>
        <v>-</v>
      </c>
      <c r="F170" s="25" t="str">
        <f>IFERROR(INDEX('SSA2'!E:E,MATCH(Total!B170,'SSA2'!B:B,0)),"-")</f>
        <v>-</v>
      </c>
      <c r="G170" s="15" t="str">
        <f>IFERROR(INDEX('SSA3'!E:E,MATCH(Total!B170,'SSA3'!B:B,0)),"-")</f>
        <v>-</v>
      </c>
      <c r="H170" s="15" t="str">
        <f>IFERROR(INDEX('SSA5'!E:E,MATCH(Total!B170,'SSA5'!B:B,0)),"-")</f>
        <v>-</v>
      </c>
      <c r="I170" s="15" t="str">
        <f>IFERROR(INDEX('SSA6'!E:E,MATCH(Total!B170,'SSA6'!B:B,0)),"-")</f>
        <v>-</v>
      </c>
      <c r="J170" s="15" t="str">
        <f>IFERROR(INDEX('SSA7'!E:E,MATCH(Total!B170,'SSA7'!B:B,0)),"-")</f>
        <v>-</v>
      </c>
    </row>
    <row r="171" spans="1:10" ht="22.2" customHeight="1" x14ac:dyDescent="0.55000000000000004">
      <c r="A171" s="15">
        <v>169</v>
      </c>
      <c r="B171" s="36" t="s">
        <v>522</v>
      </c>
      <c r="C171" s="37" t="s">
        <v>324</v>
      </c>
      <c r="D171" s="37" t="s">
        <v>19</v>
      </c>
      <c r="E171" s="25" t="str">
        <f>IFERROR(INDEX('SSA1'!E:E,MATCH(Total!B171,'SSA1'!B:B,0)),"-")</f>
        <v>-</v>
      </c>
      <c r="F171" s="25" t="str">
        <f>IFERROR(INDEX('SSA2'!E:E,MATCH(Total!B171,'SSA2'!B:B,0)),"-")</f>
        <v>-</v>
      </c>
      <c r="G171" s="15" t="str">
        <f>IFERROR(INDEX('SSA3'!E:E,MATCH(Total!B171,'SSA3'!B:B,0)),"-")</f>
        <v>-</v>
      </c>
      <c r="H171" s="15" t="str">
        <f>IFERROR(INDEX('SSA5'!E:E,MATCH(Total!B171,'SSA5'!B:B,0)),"-")</f>
        <v>-</v>
      </c>
      <c r="I171" s="15" t="str">
        <f>IFERROR(INDEX('SSA6'!E:E,MATCH(Total!B171,'SSA6'!B:B,0)),"-")</f>
        <v>-</v>
      </c>
      <c r="J171" s="15" t="str">
        <f>IFERROR(INDEX('SSA7'!E:E,MATCH(Total!B171,'SSA7'!B:B,0)),"-")</f>
        <v>-</v>
      </c>
    </row>
    <row r="172" spans="1:10" ht="22.2" customHeight="1" x14ac:dyDescent="0.55000000000000004">
      <c r="A172" s="15">
        <v>170</v>
      </c>
      <c r="B172" s="36" t="s">
        <v>523</v>
      </c>
      <c r="C172" s="37" t="s">
        <v>325</v>
      </c>
      <c r="D172" s="37" t="s">
        <v>22</v>
      </c>
      <c r="E172" s="25" t="str">
        <f>IFERROR(INDEX('SSA1'!E:E,MATCH(Total!B172,'SSA1'!B:B,0)),"-")</f>
        <v>-</v>
      </c>
      <c r="F172" s="25" t="str">
        <f>IFERROR(INDEX('SSA2'!E:E,MATCH(Total!B172,'SSA2'!B:B,0)),"-")</f>
        <v>-</v>
      </c>
      <c r="G172" s="15" t="str">
        <f>IFERROR(INDEX('SSA3'!E:E,MATCH(Total!B172,'SSA3'!B:B,0)),"-")</f>
        <v>-</v>
      </c>
      <c r="H172" s="15" t="str">
        <f>IFERROR(INDEX('SSA5'!E:E,MATCH(Total!B172,'SSA5'!B:B,0)),"-")</f>
        <v>-</v>
      </c>
      <c r="I172" s="15" t="str">
        <f>IFERROR(INDEX('SSA6'!E:E,MATCH(Total!B172,'SSA6'!B:B,0)),"-")</f>
        <v>-</v>
      </c>
      <c r="J172" s="15" t="str">
        <f>IFERROR(INDEX('SSA7'!E:E,MATCH(Total!B172,'SSA7'!B:B,0)),"-")</f>
        <v>-</v>
      </c>
    </row>
    <row r="173" spans="1:10" ht="22.2" customHeight="1" x14ac:dyDescent="0.55000000000000004">
      <c r="A173" s="15">
        <v>171</v>
      </c>
      <c r="B173" s="36" t="s">
        <v>524</v>
      </c>
      <c r="C173" s="37" t="s">
        <v>326</v>
      </c>
      <c r="D173" s="37" t="s">
        <v>22</v>
      </c>
      <c r="E173" s="25" t="str">
        <f>IFERROR(INDEX('SSA1'!E:E,MATCH(Total!B173,'SSA1'!B:B,0)),"-")</f>
        <v>-</v>
      </c>
      <c r="F173" s="25" t="str">
        <f>IFERROR(INDEX('SSA2'!E:E,MATCH(Total!B173,'SSA2'!B:B,0)),"-")</f>
        <v>-</v>
      </c>
      <c r="G173" s="15" t="str">
        <f>IFERROR(INDEX('SSA3'!E:E,MATCH(Total!B173,'SSA3'!B:B,0)),"-")</f>
        <v>-</v>
      </c>
      <c r="H173" s="15" t="str">
        <f>IFERROR(INDEX('SSA5'!E:E,MATCH(Total!B173,'SSA5'!B:B,0)),"-")</f>
        <v>-</v>
      </c>
      <c r="I173" s="15" t="str">
        <f>IFERROR(INDEX('SSA6'!E:E,MATCH(Total!B173,'SSA6'!B:B,0)),"-")</f>
        <v>-</v>
      </c>
      <c r="J173" s="15" t="str">
        <f>IFERROR(INDEX('SSA7'!E:E,MATCH(Total!B173,'SSA7'!B:B,0)),"-")</f>
        <v>-</v>
      </c>
    </row>
    <row r="174" spans="1:10" ht="22.2" customHeight="1" x14ac:dyDescent="0.55000000000000004">
      <c r="A174" s="15">
        <v>172</v>
      </c>
      <c r="B174" s="36" t="s">
        <v>525</v>
      </c>
      <c r="C174" s="37" t="s">
        <v>327</v>
      </c>
      <c r="D174" s="37" t="s">
        <v>19</v>
      </c>
      <c r="E174" s="25" t="str">
        <f>IFERROR(INDEX('SSA1'!E:E,MATCH(Total!B174,'SSA1'!B:B,0)),"-")</f>
        <v>-</v>
      </c>
      <c r="F174" s="25" t="str">
        <f>IFERROR(INDEX('SSA2'!E:E,MATCH(Total!B174,'SSA2'!B:B,0)),"-")</f>
        <v>-</v>
      </c>
      <c r="G174" s="15" t="str">
        <f>IFERROR(INDEX('SSA3'!E:E,MATCH(Total!B174,'SSA3'!B:B,0)),"-")</f>
        <v>-</v>
      </c>
      <c r="H174" s="15" t="str">
        <f>IFERROR(INDEX('SSA5'!E:E,MATCH(Total!B174,'SSA5'!B:B,0)),"-")</f>
        <v>-</v>
      </c>
      <c r="I174" s="15" t="str">
        <f>IFERROR(INDEX('SSA6'!E:E,MATCH(Total!B174,'SSA6'!B:B,0)),"-")</f>
        <v>-</v>
      </c>
      <c r="J174" s="15" t="str">
        <f>IFERROR(INDEX('SSA7'!E:E,MATCH(Total!B174,'SSA7'!B:B,0)),"-")</f>
        <v>-</v>
      </c>
    </row>
    <row r="175" spans="1:10" ht="22.2" customHeight="1" x14ac:dyDescent="0.55000000000000004">
      <c r="A175" s="15">
        <v>173</v>
      </c>
      <c r="B175" s="36" t="s">
        <v>526</v>
      </c>
      <c r="C175" s="37" t="s">
        <v>328</v>
      </c>
      <c r="D175" s="37" t="s">
        <v>19</v>
      </c>
      <c r="E175" s="25" t="str">
        <f>IFERROR(INDEX('SSA1'!E:E,MATCH(Total!B175,'SSA1'!B:B,0)),"-")</f>
        <v>-</v>
      </c>
      <c r="F175" s="25" t="str">
        <f>IFERROR(INDEX('SSA2'!E:E,MATCH(Total!B175,'SSA2'!B:B,0)),"-")</f>
        <v>-</v>
      </c>
      <c r="G175" s="15" t="str">
        <f>IFERROR(INDEX('SSA3'!E:E,MATCH(Total!B175,'SSA3'!B:B,0)),"-")</f>
        <v>-</v>
      </c>
      <c r="H175" s="15" t="str">
        <f>IFERROR(INDEX('SSA5'!E:E,MATCH(Total!B175,'SSA5'!B:B,0)),"-")</f>
        <v>-</v>
      </c>
      <c r="I175" s="15" t="str">
        <f>IFERROR(INDEX('SSA6'!E:E,MATCH(Total!B175,'SSA6'!B:B,0)),"-")</f>
        <v>-</v>
      </c>
      <c r="J175" s="15" t="str">
        <f>IFERROR(INDEX('SSA7'!E:E,MATCH(Total!B175,'SSA7'!B:B,0)),"-")</f>
        <v>-</v>
      </c>
    </row>
    <row r="176" spans="1:10" ht="22.2" customHeight="1" x14ac:dyDescent="0.55000000000000004">
      <c r="A176" s="15">
        <v>174</v>
      </c>
      <c r="B176" s="36" t="s">
        <v>527</v>
      </c>
      <c r="C176" s="37" t="s">
        <v>329</v>
      </c>
      <c r="D176" s="37" t="s">
        <v>22</v>
      </c>
      <c r="E176" s="25" t="str">
        <f>IFERROR(INDEX('SSA1'!E:E,MATCH(Total!B176,'SSA1'!B:B,0)),"-")</f>
        <v>-</v>
      </c>
      <c r="F176" s="25" t="str">
        <f>IFERROR(INDEX('SSA2'!E:E,MATCH(Total!B176,'SSA2'!B:B,0)),"-")</f>
        <v>-</v>
      </c>
      <c r="G176" s="15" t="str">
        <f>IFERROR(INDEX('SSA3'!E:E,MATCH(Total!B176,'SSA3'!B:B,0)),"-")</f>
        <v>-</v>
      </c>
      <c r="H176" s="15" t="str">
        <f>IFERROR(INDEX('SSA5'!E:E,MATCH(Total!B176,'SSA5'!B:B,0)),"-")</f>
        <v>-</v>
      </c>
      <c r="I176" s="15" t="str">
        <f>IFERROR(INDEX('SSA6'!E:E,MATCH(Total!B176,'SSA6'!B:B,0)),"-")</f>
        <v>-</v>
      </c>
      <c r="J176" s="15" t="str">
        <f>IFERROR(INDEX('SSA7'!E:E,MATCH(Total!B176,'SSA7'!B:B,0)),"-")</f>
        <v>-</v>
      </c>
    </row>
    <row r="177" spans="1:10" ht="22.2" customHeight="1" x14ac:dyDescent="0.55000000000000004">
      <c r="A177" s="15">
        <v>175</v>
      </c>
      <c r="B177" s="36" t="s">
        <v>528</v>
      </c>
      <c r="C177" s="37" t="s">
        <v>330</v>
      </c>
      <c r="D177" s="37" t="s">
        <v>111</v>
      </c>
      <c r="E177" s="25" t="str">
        <f>IFERROR(INDEX('SSA1'!E:E,MATCH(Total!B177,'SSA1'!B:B,0)),"-")</f>
        <v>-</v>
      </c>
      <c r="F177" s="25" t="str">
        <f>IFERROR(INDEX('SSA2'!E:E,MATCH(Total!B177,'SSA2'!B:B,0)),"-")</f>
        <v>-</v>
      </c>
      <c r="G177" s="15">
        <f>IFERROR(INDEX('SSA3'!E:E,MATCH(Total!B177,'SSA3'!B:B,0)),"-")</f>
        <v>3</v>
      </c>
      <c r="H177" s="15">
        <f>IFERROR(INDEX('SSA5'!E:E,MATCH(Total!B177,'SSA5'!B:B,0)),"-")</f>
        <v>13</v>
      </c>
      <c r="I177" s="15">
        <f>IFERROR(INDEX('SSA6'!E:E,MATCH(Total!B177,'SSA6'!B:B,0)),"-")</f>
        <v>4</v>
      </c>
      <c r="J177" s="15" t="str">
        <f>IFERROR(INDEX('SSA7'!E:E,MATCH(Total!B177,'SSA7'!B:B,0)),"-")</f>
        <v>-</v>
      </c>
    </row>
    <row r="178" spans="1:10" ht="22.2" customHeight="1" x14ac:dyDescent="0.55000000000000004">
      <c r="A178" s="15">
        <v>176</v>
      </c>
      <c r="B178" s="36" t="s">
        <v>529</v>
      </c>
      <c r="C178" s="37" t="s">
        <v>331</v>
      </c>
      <c r="D178" s="37" t="s">
        <v>19</v>
      </c>
      <c r="E178" s="25" t="str">
        <f>IFERROR(INDEX('SSA1'!E:E,MATCH(Total!B178,'SSA1'!B:B,0)),"-")</f>
        <v>-</v>
      </c>
      <c r="F178" s="25" t="str">
        <f>IFERROR(INDEX('SSA2'!E:E,MATCH(Total!B178,'SSA2'!B:B,0)),"-")</f>
        <v>-</v>
      </c>
      <c r="G178" s="15" t="str">
        <f>IFERROR(INDEX('SSA3'!E:E,MATCH(Total!B178,'SSA3'!B:B,0)),"-")</f>
        <v>-</v>
      </c>
      <c r="H178" s="15" t="str">
        <f>IFERROR(INDEX('SSA5'!E:E,MATCH(Total!B178,'SSA5'!B:B,0)),"-")</f>
        <v>-</v>
      </c>
      <c r="I178" s="15" t="str">
        <f>IFERROR(INDEX('SSA6'!E:E,MATCH(Total!B178,'SSA6'!B:B,0)),"-")</f>
        <v>-</v>
      </c>
      <c r="J178" s="15" t="str">
        <f>IFERROR(INDEX('SSA7'!E:E,MATCH(Total!B178,'SSA7'!B:B,0)),"-")</f>
        <v>-</v>
      </c>
    </row>
    <row r="179" spans="1:10" ht="22.2" customHeight="1" x14ac:dyDescent="0.55000000000000004">
      <c r="A179" s="15">
        <v>177</v>
      </c>
      <c r="B179" s="36" t="s">
        <v>156</v>
      </c>
      <c r="C179" s="37" t="s">
        <v>332</v>
      </c>
      <c r="D179" s="37" t="s">
        <v>19</v>
      </c>
      <c r="E179" s="25">
        <f>IFERROR(INDEX('SSA1'!E:E,MATCH(Total!B179,'SSA1'!B:B,0)),"-")</f>
        <v>4</v>
      </c>
      <c r="F179" s="25" t="str">
        <f>IFERROR(INDEX('SSA2'!E:E,MATCH(Total!B179,'SSA2'!B:B,0)),"-")</f>
        <v>-</v>
      </c>
      <c r="G179" s="15" t="str">
        <f>IFERROR(INDEX('SSA3'!E:E,MATCH(Total!B179,'SSA3'!B:B,0)),"-")</f>
        <v>-</v>
      </c>
      <c r="H179" s="15" t="str">
        <f>IFERROR(INDEX('SSA5'!E:E,MATCH(Total!B179,'SSA5'!B:B,0)),"-")</f>
        <v>-</v>
      </c>
      <c r="I179" s="15">
        <f>IFERROR(INDEX('SSA6'!E:E,MATCH(Total!B179,'SSA6'!B:B,0)),"-")</f>
        <v>4</v>
      </c>
      <c r="J179" s="15">
        <f>IFERROR(INDEX('SSA7'!E:E,MATCH(Total!B179,'SSA7'!B:B,0)),"-")</f>
        <v>27</v>
      </c>
    </row>
    <row r="180" spans="1:10" ht="22.2" customHeight="1" x14ac:dyDescent="0.55000000000000004">
      <c r="A180" s="15">
        <v>178</v>
      </c>
      <c r="B180" s="36" t="s">
        <v>530</v>
      </c>
      <c r="C180" s="37" t="s">
        <v>333</v>
      </c>
      <c r="D180" s="37" t="s">
        <v>577</v>
      </c>
      <c r="E180" s="25" t="str">
        <f>IFERROR(INDEX('SSA1'!E:E,MATCH(Total!B180,'SSA1'!B:B,0)),"-")</f>
        <v>-</v>
      </c>
      <c r="F180" s="25" t="str">
        <f>IFERROR(INDEX('SSA2'!E:E,MATCH(Total!B180,'SSA2'!B:B,0)),"-")</f>
        <v>-</v>
      </c>
      <c r="G180" s="15" t="str">
        <f>IFERROR(INDEX('SSA3'!E:E,MATCH(Total!B180,'SSA3'!B:B,0)),"-")</f>
        <v>-</v>
      </c>
      <c r="H180" s="15" t="str">
        <f>IFERROR(INDEX('SSA5'!E:E,MATCH(Total!B180,'SSA5'!B:B,0)),"-")</f>
        <v>-</v>
      </c>
      <c r="I180" s="15" t="str">
        <f>IFERROR(INDEX('SSA6'!E:E,MATCH(Total!B180,'SSA6'!B:B,0)),"-")</f>
        <v>-</v>
      </c>
      <c r="J180" s="15" t="str">
        <f>IFERROR(INDEX('SSA7'!E:E,MATCH(Total!B180,'SSA7'!B:B,0)),"-")</f>
        <v>-</v>
      </c>
    </row>
    <row r="181" spans="1:10" ht="22.2" customHeight="1" x14ac:dyDescent="0.55000000000000004">
      <c r="A181" s="15">
        <v>179</v>
      </c>
      <c r="B181" s="36" t="s">
        <v>20</v>
      </c>
      <c r="C181" s="37" t="s">
        <v>334</v>
      </c>
      <c r="D181" s="37" t="s">
        <v>22</v>
      </c>
      <c r="E181" s="25">
        <f>IFERROR(INDEX('SSA1'!E:E,MATCH(Total!B181,'SSA1'!B:B,0)),"-")</f>
        <v>10</v>
      </c>
      <c r="F181" s="25" t="str">
        <f>IFERROR(INDEX('SSA2'!E:E,MATCH(Total!B181,'SSA2'!B:B,0)),"-")</f>
        <v>-</v>
      </c>
      <c r="G181" s="15" t="str">
        <f>IFERROR(INDEX('SSA3'!E:E,MATCH(Total!B181,'SSA3'!B:B,0)),"-")</f>
        <v>-</v>
      </c>
      <c r="H181" s="15">
        <f>IFERROR(INDEX('SSA5'!E:E,MATCH(Total!B181,'SSA5'!B:B,0)),"-")</f>
        <v>4</v>
      </c>
      <c r="I181" s="15" t="str">
        <f>IFERROR(INDEX('SSA6'!E:E,MATCH(Total!B181,'SSA6'!B:B,0)),"-")</f>
        <v>-</v>
      </c>
      <c r="J181" s="15">
        <f>IFERROR(INDEX('SSA7'!E:E,MATCH(Total!B181,'SSA7'!B:B,0)),"-")</f>
        <v>1</v>
      </c>
    </row>
    <row r="182" spans="1:10" ht="22.2" customHeight="1" x14ac:dyDescent="0.55000000000000004">
      <c r="A182" s="15">
        <v>180</v>
      </c>
      <c r="B182" s="36" t="s">
        <v>17</v>
      </c>
      <c r="C182" s="37" t="s">
        <v>335</v>
      </c>
      <c r="D182" s="37" t="s">
        <v>19</v>
      </c>
      <c r="E182" s="25">
        <f>IFERROR(INDEX('SSA1'!E:E,MATCH(Total!B182,'SSA1'!B:B,0)),"-")</f>
        <v>495</v>
      </c>
      <c r="F182" s="25">
        <f>IFERROR(INDEX('SSA2'!E:E,MATCH(Total!B182,'SSA2'!B:B,0)),"-")</f>
        <v>10</v>
      </c>
      <c r="G182" s="15">
        <f>IFERROR(INDEX('SSA3'!E:E,MATCH(Total!B182,'SSA3'!B:B,0)),"-")</f>
        <v>35</v>
      </c>
      <c r="H182" s="15">
        <f>IFERROR(INDEX('SSA5'!E:E,MATCH(Total!B182,'SSA5'!B:B,0)),"-")</f>
        <v>228</v>
      </c>
      <c r="I182" s="15">
        <f>IFERROR(INDEX('SSA6'!E:E,MATCH(Total!B182,'SSA6'!B:B,0)),"-")</f>
        <v>6</v>
      </c>
      <c r="J182" s="15">
        <f>IFERROR(INDEX('SSA7'!E:E,MATCH(Total!B182,'SSA7'!B:B,0)),"-")</f>
        <v>19</v>
      </c>
    </row>
    <row r="183" spans="1:10" ht="22.2" customHeight="1" x14ac:dyDescent="0.55000000000000004">
      <c r="A183" s="15">
        <v>181</v>
      </c>
      <c r="B183" s="36" t="s">
        <v>531</v>
      </c>
      <c r="C183" s="37" t="s">
        <v>336</v>
      </c>
      <c r="D183" s="37" t="s">
        <v>22</v>
      </c>
      <c r="E183" s="25" t="str">
        <f>IFERROR(INDEX('SSA1'!E:E,MATCH(Total!B183,'SSA1'!B:B,0)),"-")</f>
        <v>-</v>
      </c>
      <c r="F183" s="25" t="str">
        <f>IFERROR(INDEX('SSA2'!E:E,MATCH(Total!B183,'SSA2'!B:B,0)),"-")</f>
        <v>-</v>
      </c>
      <c r="G183" s="15" t="str">
        <f>IFERROR(INDEX('SSA3'!E:E,MATCH(Total!B183,'SSA3'!B:B,0)),"-")</f>
        <v>-</v>
      </c>
      <c r="H183" s="15" t="str">
        <f>IFERROR(INDEX('SSA5'!E:E,MATCH(Total!B183,'SSA5'!B:B,0)),"-")</f>
        <v>-</v>
      </c>
      <c r="I183" s="15" t="str">
        <f>IFERROR(INDEX('SSA6'!E:E,MATCH(Total!B183,'SSA6'!B:B,0)),"-")</f>
        <v>-</v>
      </c>
      <c r="J183" s="15" t="str">
        <f>IFERROR(INDEX('SSA7'!E:E,MATCH(Total!B183,'SSA7'!B:B,0)),"-")</f>
        <v>-</v>
      </c>
    </row>
    <row r="184" spans="1:10" ht="22.2" customHeight="1" x14ac:dyDescent="0.55000000000000004">
      <c r="A184" s="15">
        <v>182</v>
      </c>
      <c r="B184" s="36" t="s">
        <v>532</v>
      </c>
      <c r="C184" s="37" t="s">
        <v>337</v>
      </c>
      <c r="D184" s="37" t="s">
        <v>19</v>
      </c>
      <c r="E184" s="25" t="str">
        <f>IFERROR(INDEX('SSA1'!E:E,MATCH(Total!B184,'SSA1'!B:B,0)),"-")</f>
        <v>-</v>
      </c>
      <c r="F184" s="25" t="str">
        <f>IFERROR(INDEX('SSA2'!E:E,MATCH(Total!B184,'SSA2'!B:B,0)),"-")</f>
        <v>-</v>
      </c>
      <c r="G184" s="15" t="str">
        <f>IFERROR(INDEX('SSA3'!E:E,MATCH(Total!B184,'SSA3'!B:B,0)),"-")</f>
        <v>-</v>
      </c>
      <c r="H184" s="15" t="str">
        <f>IFERROR(INDEX('SSA5'!E:E,MATCH(Total!B184,'SSA5'!B:B,0)),"-")</f>
        <v>-</v>
      </c>
      <c r="I184" s="15" t="str">
        <f>IFERROR(INDEX('SSA6'!E:E,MATCH(Total!B184,'SSA6'!B:B,0)),"-")</f>
        <v>-</v>
      </c>
      <c r="J184" s="15" t="str">
        <f>IFERROR(INDEX('SSA7'!E:E,MATCH(Total!B184,'SSA7'!B:B,0)),"-")</f>
        <v>-</v>
      </c>
    </row>
    <row r="185" spans="1:10" ht="22.2" customHeight="1" x14ac:dyDescent="0.55000000000000004">
      <c r="A185" s="15">
        <v>183</v>
      </c>
      <c r="B185" s="36" t="s">
        <v>533</v>
      </c>
      <c r="C185" s="37" t="s">
        <v>338</v>
      </c>
      <c r="D185" s="37" t="s">
        <v>19</v>
      </c>
      <c r="E185" s="25" t="str">
        <f>IFERROR(INDEX('SSA1'!E:E,MATCH(Total!B185,'SSA1'!B:B,0)),"-")</f>
        <v>-</v>
      </c>
      <c r="F185" s="25" t="str">
        <f>IFERROR(INDEX('SSA2'!E:E,MATCH(Total!B185,'SSA2'!B:B,0)),"-")</f>
        <v>-</v>
      </c>
      <c r="G185" s="15" t="str">
        <f>IFERROR(INDEX('SSA3'!E:E,MATCH(Total!B185,'SSA3'!B:B,0)),"-")</f>
        <v>-</v>
      </c>
      <c r="H185" s="15" t="str">
        <f>IFERROR(INDEX('SSA5'!E:E,MATCH(Total!B185,'SSA5'!B:B,0)),"-")</f>
        <v>-</v>
      </c>
      <c r="I185" s="15" t="str">
        <f>IFERROR(INDEX('SSA6'!E:E,MATCH(Total!B185,'SSA6'!B:B,0)),"-")</f>
        <v>-</v>
      </c>
      <c r="J185" s="15" t="str">
        <f>IFERROR(INDEX('SSA7'!E:E,MATCH(Total!B185,'SSA7'!B:B,0)),"-")</f>
        <v>-</v>
      </c>
    </row>
    <row r="186" spans="1:10" ht="22.2" customHeight="1" x14ac:dyDescent="0.55000000000000004">
      <c r="A186" s="15">
        <v>184</v>
      </c>
      <c r="B186" s="36" t="s">
        <v>534</v>
      </c>
      <c r="C186" s="37" t="s">
        <v>339</v>
      </c>
      <c r="D186" s="37" t="s">
        <v>22</v>
      </c>
      <c r="E186" s="25" t="str">
        <f>IFERROR(INDEX('SSA1'!E:E,MATCH(Total!B186,'SSA1'!B:B,0)),"-")</f>
        <v>-</v>
      </c>
      <c r="F186" s="25" t="str">
        <f>IFERROR(INDEX('SSA2'!E:E,MATCH(Total!B186,'SSA2'!B:B,0)),"-")</f>
        <v>-</v>
      </c>
      <c r="G186" s="15" t="str">
        <f>IFERROR(INDEX('SSA3'!E:E,MATCH(Total!B186,'SSA3'!B:B,0)),"-")</f>
        <v>-</v>
      </c>
      <c r="H186" s="15" t="str">
        <f>IFERROR(INDEX('SSA5'!E:E,MATCH(Total!B186,'SSA5'!B:B,0)),"-")</f>
        <v>-</v>
      </c>
      <c r="I186" s="15" t="str">
        <f>IFERROR(INDEX('SSA6'!E:E,MATCH(Total!B186,'SSA6'!B:B,0)),"-")</f>
        <v>-</v>
      </c>
      <c r="J186" s="15" t="str">
        <f>IFERROR(INDEX('SSA7'!E:E,MATCH(Total!B186,'SSA7'!B:B,0)),"-")</f>
        <v>-</v>
      </c>
    </row>
    <row r="187" spans="1:10" ht="22.2" customHeight="1" x14ac:dyDescent="0.55000000000000004">
      <c r="A187" s="15">
        <v>185</v>
      </c>
      <c r="B187" s="36" t="s">
        <v>120</v>
      </c>
      <c r="C187" s="37" t="s">
        <v>340</v>
      </c>
      <c r="D187" s="37" t="s">
        <v>19</v>
      </c>
      <c r="E187" s="25">
        <f>IFERROR(INDEX('SSA1'!E:E,MATCH(Total!B187,'SSA1'!B:B,0)),"-")</f>
        <v>643</v>
      </c>
      <c r="F187" s="25">
        <f>IFERROR(INDEX('SSA2'!E:E,MATCH(Total!B187,'SSA2'!B:B,0)),"-")</f>
        <v>104</v>
      </c>
      <c r="G187" s="15">
        <f>IFERROR(INDEX('SSA3'!E:E,MATCH(Total!B187,'SSA3'!B:B,0)),"-")</f>
        <v>625</v>
      </c>
      <c r="H187" s="15">
        <f>IFERROR(INDEX('SSA5'!E:E,MATCH(Total!B187,'SSA5'!B:B,0)),"-")</f>
        <v>515</v>
      </c>
      <c r="I187" s="15">
        <f>IFERROR(INDEX('SSA6'!E:E,MATCH(Total!B187,'SSA6'!B:B,0)),"-")</f>
        <v>136</v>
      </c>
      <c r="J187" s="15">
        <f>IFERROR(INDEX('SSA7'!E:E,MATCH(Total!B187,'SSA7'!B:B,0)),"-")</f>
        <v>208</v>
      </c>
    </row>
    <row r="188" spans="1:10" ht="22.2" customHeight="1" x14ac:dyDescent="0.55000000000000004">
      <c r="A188" s="15">
        <v>186</v>
      </c>
      <c r="B188" s="36" t="s">
        <v>535</v>
      </c>
      <c r="C188" s="37" t="s">
        <v>341</v>
      </c>
      <c r="D188" s="37" t="s">
        <v>19</v>
      </c>
      <c r="E188" s="25" t="str">
        <f>IFERROR(INDEX('SSA1'!E:E,MATCH(Total!B188,'SSA1'!B:B,0)),"-")</f>
        <v>-</v>
      </c>
      <c r="F188" s="25" t="str">
        <f>IFERROR(INDEX('SSA2'!E:E,MATCH(Total!B188,'SSA2'!B:B,0)),"-")</f>
        <v>-</v>
      </c>
      <c r="G188" s="15" t="str">
        <f>IFERROR(INDEX('SSA3'!E:E,MATCH(Total!B188,'SSA3'!B:B,0)),"-")</f>
        <v>-</v>
      </c>
      <c r="H188" s="15" t="str">
        <f>IFERROR(INDEX('SSA5'!E:E,MATCH(Total!B188,'SSA5'!B:B,0)),"-")</f>
        <v>-</v>
      </c>
      <c r="I188" s="15" t="str">
        <f>IFERROR(INDEX('SSA6'!E:E,MATCH(Total!B188,'SSA6'!B:B,0)),"-")</f>
        <v>-</v>
      </c>
      <c r="J188" s="15" t="str">
        <f>IFERROR(INDEX('SSA7'!E:E,MATCH(Total!B188,'SSA7'!B:B,0)),"-")</f>
        <v>-</v>
      </c>
    </row>
    <row r="189" spans="1:10" ht="22.2" customHeight="1" x14ac:dyDescent="0.55000000000000004">
      <c r="A189" s="15">
        <v>187</v>
      </c>
      <c r="B189" s="36" t="s">
        <v>67</v>
      </c>
      <c r="C189" s="37" t="s">
        <v>342</v>
      </c>
      <c r="D189" s="37" t="s">
        <v>19</v>
      </c>
      <c r="E189" s="25">
        <f>IFERROR(INDEX('SSA1'!E:E,MATCH(Total!B189,'SSA1'!B:B,0)),"-")</f>
        <v>3764</v>
      </c>
      <c r="F189" s="25">
        <f>IFERROR(INDEX('SSA2'!E:E,MATCH(Total!B189,'SSA2'!B:B,0)),"-")</f>
        <v>263</v>
      </c>
      <c r="G189" s="15">
        <f>IFERROR(INDEX('SSA3'!E:E,MATCH(Total!B189,'SSA3'!B:B,0)),"-")</f>
        <v>2106</v>
      </c>
      <c r="H189" s="15">
        <f>IFERROR(INDEX('SSA5'!E:E,MATCH(Total!B189,'SSA5'!B:B,0)),"-")</f>
        <v>2520</v>
      </c>
      <c r="I189" s="15">
        <f>IFERROR(INDEX('SSA6'!E:E,MATCH(Total!B189,'SSA6'!B:B,0)),"-")</f>
        <v>1017</v>
      </c>
      <c r="J189" s="15">
        <f>IFERROR(INDEX('SSA7'!E:E,MATCH(Total!B189,'SSA7'!B:B,0)),"-")</f>
        <v>1752</v>
      </c>
    </row>
    <row r="190" spans="1:10" ht="22.2" customHeight="1" x14ac:dyDescent="0.55000000000000004">
      <c r="A190" s="15">
        <v>188</v>
      </c>
      <c r="B190" s="36" t="s">
        <v>536</v>
      </c>
      <c r="C190" s="37" t="s">
        <v>343</v>
      </c>
      <c r="D190" s="37" t="s">
        <v>111</v>
      </c>
      <c r="E190" s="25" t="str">
        <f>IFERROR(INDEX('SSA1'!E:E,MATCH(Total!B190,'SSA1'!B:B,0)),"-")</f>
        <v>-</v>
      </c>
      <c r="F190" s="25" t="str">
        <f>IFERROR(INDEX('SSA2'!E:E,MATCH(Total!B190,'SSA2'!B:B,0)),"-")</f>
        <v>-</v>
      </c>
      <c r="G190" s="15" t="str">
        <f>IFERROR(INDEX('SSA3'!E:E,MATCH(Total!B190,'SSA3'!B:B,0)),"-")</f>
        <v>-</v>
      </c>
      <c r="H190" s="15" t="str">
        <f>IFERROR(INDEX('SSA5'!E:E,MATCH(Total!B190,'SSA5'!B:B,0)),"-")</f>
        <v>-</v>
      </c>
      <c r="I190" s="15" t="str">
        <f>IFERROR(INDEX('SSA6'!E:E,MATCH(Total!B190,'SSA6'!B:B,0)),"-")</f>
        <v>-</v>
      </c>
      <c r="J190" s="15" t="str">
        <f>IFERROR(INDEX('SSA7'!E:E,MATCH(Total!B190,'SSA7'!B:B,0)),"-")</f>
        <v>-</v>
      </c>
    </row>
    <row r="191" spans="1:10" ht="22.2" customHeight="1" x14ac:dyDescent="0.55000000000000004">
      <c r="A191" s="15">
        <v>189</v>
      </c>
      <c r="B191" s="36" t="s">
        <v>130</v>
      </c>
      <c r="C191" s="37" t="s">
        <v>344</v>
      </c>
      <c r="D191" s="37" t="s">
        <v>5</v>
      </c>
      <c r="E191" s="25">
        <f>IFERROR(INDEX('SSA1'!E:E,MATCH(Total!B191,'SSA1'!B:B,0)),"-")</f>
        <v>205</v>
      </c>
      <c r="F191" s="25">
        <f>IFERROR(INDEX('SSA2'!E:E,MATCH(Total!B191,'SSA2'!B:B,0)),"-")</f>
        <v>26</v>
      </c>
      <c r="G191" s="15">
        <f>IFERROR(INDEX('SSA3'!E:E,MATCH(Total!B191,'SSA3'!B:B,0)),"-")</f>
        <v>69</v>
      </c>
      <c r="H191" s="15">
        <f>IFERROR(INDEX('SSA5'!E:E,MATCH(Total!B191,'SSA5'!B:B,0)),"-")</f>
        <v>386</v>
      </c>
      <c r="I191" s="15">
        <f>IFERROR(INDEX('SSA6'!E:E,MATCH(Total!B191,'SSA6'!B:B,0)),"-")</f>
        <v>172</v>
      </c>
      <c r="J191" s="15">
        <f>IFERROR(INDEX('SSA7'!E:E,MATCH(Total!B191,'SSA7'!B:B,0)),"-")</f>
        <v>152</v>
      </c>
    </row>
    <row r="192" spans="1:10" ht="22.2" customHeight="1" x14ac:dyDescent="0.55000000000000004">
      <c r="A192" s="15">
        <v>190</v>
      </c>
      <c r="B192" s="36" t="s">
        <v>537</v>
      </c>
      <c r="C192" s="37" t="s">
        <v>345</v>
      </c>
      <c r="D192" s="37" t="s">
        <v>577</v>
      </c>
      <c r="E192" s="25" t="str">
        <f>IFERROR(INDEX('SSA1'!E:E,MATCH(Total!B192,'SSA1'!B:B,0)),"-")</f>
        <v>-</v>
      </c>
      <c r="F192" s="25" t="str">
        <f>IFERROR(INDEX('SSA2'!E:E,MATCH(Total!B192,'SSA2'!B:B,0)),"-")</f>
        <v>-</v>
      </c>
      <c r="G192" s="15" t="str">
        <f>IFERROR(INDEX('SSA3'!E:E,MATCH(Total!B192,'SSA3'!B:B,0)),"-")</f>
        <v>-</v>
      </c>
      <c r="H192" s="15" t="str">
        <f>IFERROR(INDEX('SSA5'!E:E,MATCH(Total!B192,'SSA5'!B:B,0)),"-")</f>
        <v>-</v>
      </c>
      <c r="I192" s="15" t="str">
        <f>IFERROR(INDEX('SSA6'!E:E,MATCH(Total!B192,'SSA6'!B:B,0)),"-")</f>
        <v>-</v>
      </c>
      <c r="J192" s="15" t="str">
        <f>IFERROR(INDEX('SSA7'!E:E,MATCH(Total!B192,'SSA7'!B:B,0)),"-")</f>
        <v>-</v>
      </c>
    </row>
    <row r="193" spans="1:10" ht="22.2" customHeight="1" x14ac:dyDescent="0.55000000000000004">
      <c r="A193" s="15">
        <v>191</v>
      </c>
      <c r="B193" s="36" t="s">
        <v>64</v>
      </c>
      <c r="C193" s="37" t="s">
        <v>346</v>
      </c>
      <c r="D193" s="37" t="s">
        <v>66</v>
      </c>
      <c r="E193" s="25">
        <f>IFERROR(INDEX('SSA1'!E:E,MATCH(Total!B193,'SSA1'!B:B,0)),"-")</f>
        <v>3836</v>
      </c>
      <c r="F193" s="25">
        <f>IFERROR(INDEX('SSA2'!E:E,MATCH(Total!B193,'SSA2'!B:B,0)),"-")</f>
        <v>236</v>
      </c>
      <c r="G193" s="15">
        <f>IFERROR(INDEX('SSA3'!E:E,MATCH(Total!B193,'SSA3'!B:B,0)),"-")</f>
        <v>1586</v>
      </c>
      <c r="H193" s="15">
        <f>IFERROR(INDEX('SSA5'!E:E,MATCH(Total!B193,'SSA5'!B:B,0)),"-")</f>
        <v>2270</v>
      </c>
      <c r="I193" s="15">
        <f>IFERROR(INDEX('SSA6'!E:E,MATCH(Total!B193,'SSA6'!B:B,0)),"-")</f>
        <v>810</v>
      </c>
      <c r="J193" s="15">
        <f>IFERROR(INDEX('SSA7'!E:E,MATCH(Total!B193,'SSA7'!B:B,0)),"-")</f>
        <v>1167</v>
      </c>
    </row>
    <row r="194" spans="1:10" ht="22.2" customHeight="1" x14ac:dyDescent="0.55000000000000004">
      <c r="A194" s="15">
        <v>192</v>
      </c>
      <c r="B194" s="36" t="s">
        <v>148</v>
      </c>
      <c r="C194" s="37" t="s">
        <v>347</v>
      </c>
      <c r="D194" s="37" t="s">
        <v>4</v>
      </c>
      <c r="E194" s="25">
        <f>IFERROR(INDEX('SSA1'!E:E,MATCH(Total!B194,'SSA1'!B:B,0)),"-")</f>
        <v>15</v>
      </c>
      <c r="F194" s="25" t="str">
        <f>IFERROR(INDEX('SSA2'!E:E,MATCH(Total!B194,'SSA2'!B:B,0)),"-")</f>
        <v>-</v>
      </c>
      <c r="G194" s="15" t="str">
        <f>IFERROR(INDEX('SSA3'!E:E,MATCH(Total!B194,'SSA3'!B:B,0)),"-")</f>
        <v>-</v>
      </c>
      <c r="H194" s="15">
        <f>IFERROR(INDEX('SSA5'!E:E,MATCH(Total!B194,'SSA5'!B:B,0)),"-")</f>
        <v>1</v>
      </c>
      <c r="I194" s="15">
        <f>IFERROR(INDEX('SSA6'!E:E,MATCH(Total!B194,'SSA6'!B:B,0)),"-")</f>
        <v>2</v>
      </c>
      <c r="J194" s="15" t="str">
        <f>IFERROR(INDEX('SSA7'!E:E,MATCH(Total!B194,'SSA7'!B:B,0)),"-")</f>
        <v>-</v>
      </c>
    </row>
    <row r="195" spans="1:10" ht="22.2" customHeight="1" x14ac:dyDescent="0.55000000000000004">
      <c r="A195" s="15">
        <v>193</v>
      </c>
      <c r="B195" s="36" t="s">
        <v>538</v>
      </c>
      <c r="C195" s="37" t="s">
        <v>348</v>
      </c>
      <c r="D195" s="37" t="s">
        <v>19</v>
      </c>
      <c r="E195" s="25" t="str">
        <f>IFERROR(INDEX('SSA1'!E:E,MATCH(Total!B195,'SSA1'!B:B,0)),"-")</f>
        <v>-</v>
      </c>
      <c r="F195" s="25" t="str">
        <f>IFERROR(INDEX('SSA2'!E:E,MATCH(Total!B195,'SSA2'!B:B,0)),"-")</f>
        <v>-</v>
      </c>
      <c r="G195" s="15" t="str">
        <f>IFERROR(INDEX('SSA3'!E:E,MATCH(Total!B195,'SSA3'!B:B,0)),"-")</f>
        <v>-</v>
      </c>
      <c r="H195" s="15" t="str">
        <f>IFERROR(INDEX('SSA5'!E:E,MATCH(Total!B195,'SSA5'!B:B,0)),"-")</f>
        <v>-</v>
      </c>
      <c r="I195" s="15" t="str">
        <f>IFERROR(INDEX('SSA6'!E:E,MATCH(Total!B195,'SSA6'!B:B,0)),"-")</f>
        <v>-</v>
      </c>
      <c r="J195" s="15" t="str">
        <f>IFERROR(INDEX('SSA7'!E:E,MATCH(Total!B195,'SSA7'!B:B,0)),"-")</f>
        <v>-</v>
      </c>
    </row>
    <row r="196" spans="1:10" ht="22.2" customHeight="1" x14ac:dyDescent="0.55000000000000004">
      <c r="A196" s="15">
        <v>194</v>
      </c>
      <c r="B196" s="36" t="s">
        <v>539</v>
      </c>
      <c r="C196" s="37" t="s">
        <v>349</v>
      </c>
      <c r="D196" s="37" t="s">
        <v>19</v>
      </c>
      <c r="E196" s="25" t="str">
        <f>IFERROR(INDEX('SSA1'!E:E,MATCH(Total!B196,'SSA1'!B:B,0)),"-")</f>
        <v>-</v>
      </c>
      <c r="F196" s="25" t="str">
        <f>IFERROR(INDEX('SSA2'!E:E,MATCH(Total!B196,'SSA2'!B:B,0)),"-")</f>
        <v>-</v>
      </c>
      <c r="G196" s="15" t="str">
        <f>IFERROR(INDEX('SSA3'!E:E,MATCH(Total!B196,'SSA3'!B:B,0)),"-")</f>
        <v>-</v>
      </c>
      <c r="H196" s="15" t="str">
        <f>IFERROR(INDEX('SSA5'!E:E,MATCH(Total!B196,'SSA5'!B:B,0)),"-")</f>
        <v>-</v>
      </c>
      <c r="I196" s="15" t="str">
        <f>IFERROR(INDEX('SSA6'!E:E,MATCH(Total!B196,'SSA6'!B:B,0)),"-")</f>
        <v>-</v>
      </c>
      <c r="J196" s="15" t="str">
        <f>IFERROR(INDEX('SSA7'!E:E,MATCH(Total!B196,'SSA7'!B:B,0)),"-")</f>
        <v>-</v>
      </c>
    </row>
    <row r="197" spans="1:10" ht="22.2" customHeight="1" x14ac:dyDescent="0.55000000000000004">
      <c r="A197" s="15">
        <v>195</v>
      </c>
      <c r="B197" s="36" t="s">
        <v>540</v>
      </c>
      <c r="C197" s="37" t="s">
        <v>350</v>
      </c>
      <c r="D197" s="37" t="s">
        <v>19</v>
      </c>
      <c r="E197" s="25" t="str">
        <f>IFERROR(INDEX('SSA1'!E:E,MATCH(Total!B197,'SSA1'!B:B,0)),"-")</f>
        <v>-</v>
      </c>
      <c r="F197" s="25" t="str">
        <f>IFERROR(INDEX('SSA2'!E:E,MATCH(Total!B197,'SSA2'!B:B,0)),"-")</f>
        <v>-</v>
      </c>
      <c r="G197" s="15" t="str">
        <f>IFERROR(INDEX('SSA3'!E:E,MATCH(Total!B197,'SSA3'!B:B,0)),"-")</f>
        <v>-</v>
      </c>
      <c r="H197" s="15" t="str">
        <f>IFERROR(INDEX('SSA5'!E:E,MATCH(Total!B197,'SSA5'!B:B,0)),"-")</f>
        <v>-</v>
      </c>
      <c r="I197" s="15" t="str">
        <f>IFERROR(INDEX('SSA6'!E:E,MATCH(Total!B197,'SSA6'!B:B,0)),"-")</f>
        <v>-</v>
      </c>
      <c r="J197" s="15" t="str">
        <f>IFERROR(INDEX('SSA7'!E:E,MATCH(Total!B197,'SSA7'!B:B,0)),"-")</f>
        <v>-</v>
      </c>
    </row>
    <row r="198" spans="1:10" ht="22.2" customHeight="1" x14ac:dyDescent="0.55000000000000004">
      <c r="A198" s="15">
        <v>196</v>
      </c>
      <c r="B198" s="36" t="s">
        <v>541</v>
      </c>
      <c r="C198" s="37" t="s">
        <v>351</v>
      </c>
      <c r="D198" s="37" t="s">
        <v>19</v>
      </c>
      <c r="E198" s="25" t="str">
        <f>IFERROR(INDEX('SSA1'!E:E,MATCH(Total!B198,'SSA1'!B:B,0)),"-")</f>
        <v>-</v>
      </c>
      <c r="F198" s="25" t="str">
        <f>IFERROR(INDEX('SSA2'!E:E,MATCH(Total!B198,'SSA2'!B:B,0)),"-")</f>
        <v>-</v>
      </c>
      <c r="G198" s="15" t="str">
        <f>IFERROR(INDEX('SSA3'!E:E,MATCH(Total!B198,'SSA3'!B:B,0)),"-")</f>
        <v>-</v>
      </c>
      <c r="H198" s="15" t="str">
        <f>IFERROR(INDEX('SSA5'!E:E,MATCH(Total!B198,'SSA5'!B:B,0)),"-")</f>
        <v>-</v>
      </c>
      <c r="I198" s="15" t="str">
        <f>IFERROR(INDEX('SSA6'!E:E,MATCH(Total!B198,'SSA6'!B:B,0)),"-")</f>
        <v>-</v>
      </c>
      <c r="J198" s="15" t="str">
        <f>IFERROR(INDEX('SSA7'!E:E,MATCH(Total!B198,'SSA7'!B:B,0)),"-")</f>
        <v>-</v>
      </c>
    </row>
    <row r="199" spans="1:10" ht="22.2" customHeight="1" x14ac:dyDescent="0.55000000000000004">
      <c r="A199" s="15">
        <v>197</v>
      </c>
      <c r="B199" s="36" t="s">
        <v>542</v>
      </c>
      <c r="C199" s="37" t="s">
        <v>352</v>
      </c>
      <c r="D199" s="37" t="s">
        <v>577</v>
      </c>
      <c r="E199" s="25" t="str">
        <f>IFERROR(INDEX('SSA1'!E:E,MATCH(Total!B199,'SSA1'!B:B,0)),"-")</f>
        <v>-</v>
      </c>
      <c r="F199" s="25" t="str">
        <f>IFERROR(INDEX('SSA2'!E:E,MATCH(Total!B199,'SSA2'!B:B,0)),"-")</f>
        <v>-</v>
      </c>
      <c r="G199" s="15" t="str">
        <f>IFERROR(INDEX('SSA3'!E:E,MATCH(Total!B199,'SSA3'!B:B,0)),"-")</f>
        <v>-</v>
      </c>
      <c r="H199" s="15" t="str">
        <f>IFERROR(INDEX('SSA5'!E:E,MATCH(Total!B199,'SSA5'!B:B,0)),"-")</f>
        <v>-</v>
      </c>
      <c r="I199" s="15" t="str">
        <f>IFERROR(INDEX('SSA6'!E:E,MATCH(Total!B199,'SSA6'!B:B,0)),"-")</f>
        <v>-</v>
      </c>
      <c r="J199" s="15" t="str">
        <f>IFERROR(INDEX('SSA7'!E:E,MATCH(Total!B199,'SSA7'!B:B,0)),"-")</f>
        <v>-</v>
      </c>
    </row>
    <row r="200" spans="1:10" ht="22.2" customHeight="1" x14ac:dyDescent="0.55000000000000004">
      <c r="A200" s="15">
        <v>198</v>
      </c>
      <c r="B200" s="36" t="s">
        <v>44</v>
      </c>
      <c r="C200" s="37" t="s">
        <v>353</v>
      </c>
      <c r="D200" s="37" t="s">
        <v>4</v>
      </c>
      <c r="E200" s="25">
        <f>IFERROR(INDEX('SSA1'!E:E,MATCH(Total!B200,'SSA1'!B:B,0)),"-")</f>
        <v>209</v>
      </c>
      <c r="F200" s="25">
        <f>IFERROR(INDEX('SSA2'!E:E,MATCH(Total!B200,'SSA2'!B:B,0)),"-")</f>
        <v>9</v>
      </c>
      <c r="G200" s="15">
        <f>IFERROR(INDEX('SSA3'!E:E,MATCH(Total!B200,'SSA3'!B:B,0)),"-")</f>
        <v>228</v>
      </c>
      <c r="H200" s="15">
        <f>IFERROR(INDEX('SSA5'!E:E,MATCH(Total!B200,'SSA5'!B:B,0)),"-")</f>
        <v>122</v>
      </c>
      <c r="I200" s="15">
        <f>IFERROR(INDEX('SSA6'!E:E,MATCH(Total!B200,'SSA6'!B:B,0)),"-")</f>
        <v>76</v>
      </c>
      <c r="J200" s="15">
        <f>IFERROR(INDEX('SSA7'!E:E,MATCH(Total!B200,'SSA7'!B:B,0)),"-")</f>
        <v>80</v>
      </c>
    </row>
    <row r="201" spans="1:10" ht="22.2" customHeight="1" x14ac:dyDescent="0.55000000000000004">
      <c r="A201" s="15">
        <v>199</v>
      </c>
      <c r="B201" s="36" t="s">
        <v>543</v>
      </c>
      <c r="C201" s="37" t="s">
        <v>354</v>
      </c>
      <c r="D201" s="37" t="s">
        <v>577</v>
      </c>
      <c r="E201" s="25" t="str">
        <f>IFERROR(INDEX('SSA1'!E:E,MATCH(Total!B201,'SSA1'!B:B,0)),"-")</f>
        <v>-</v>
      </c>
      <c r="F201" s="25" t="str">
        <f>IFERROR(INDEX('SSA2'!E:E,MATCH(Total!B201,'SSA2'!B:B,0)),"-")</f>
        <v>-</v>
      </c>
      <c r="G201" s="15" t="str">
        <f>IFERROR(INDEX('SSA3'!E:E,MATCH(Total!B201,'SSA3'!B:B,0)),"-")</f>
        <v>-</v>
      </c>
      <c r="H201" s="15" t="str">
        <f>IFERROR(INDEX('SSA5'!E:E,MATCH(Total!B201,'SSA5'!B:B,0)),"-")</f>
        <v>-</v>
      </c>
      <c r="I201" s="15" t="str">
        <f>IFERROR(INDEX('SSA6'!E:E,MATCH(Total!B201,'SSA6'!B:B,0)),"-")</f>
        <v>-</v>
      </c>
      <c r="J201" s="15" t="str">
        <f>IFERROR(INDEX('SSA7'!E:E,MATCH(Total!B201,'SSA7'!B:B,0)),"-")</f>
        <v>-</v>
      </c>
    </row>
    <row r="202" spans="1:10" ht="22.2" customHeight="1" x14ac:dyDescent="0.55000000000000004">
      <c r="A202" s="15">
        <v>200</v>
      </c>
      <c r="B202" s="36" t="s">
        <v>544</v>
      </c>
      <c r="C202" s="37" t="s">
        <v>355</v>
      </c>
      <c r="D202" s="37" t="s">
        <v>19</v>
      </c>
      <c r="E202" s="25" t="str">
        <f>IFERROR(INDEX('SSA1'!E:E,MATCH(Total!B202,'SSA1'!B:B,0)),"-")</f>
        <v>-</v>
      </c>
      <c r="F202" s="25" t="str">
        <f>IFERROR(INDEX('SSA2'!E:E,MATCH(Total!B202,'SSA2'!B:B,0)),"-")</f>
        <v>-</v>
      </c>
      <c r="G202" s="15" t="str">
        <f>IFERROR(INDEX('SSA3'!E:E,MATCH(Total!B202,'SSA3'!B:B,0)),"-")</f>
        <v>-</v>
      </c>
      <c r="H202" s="15" t="str">
        <f>IFERROR(INDEX('SSA5'!E:E,MATCH(Total!B202,'SSA5'!B:B,0)),"-")</f>
        <v>-</v>
      </c>
      <c r="I202" s="15" t="str">
        <f>IFERROR(INDEX('SSA6'!E:E,MATCH(Total!B202,'SSA6'!B:B,0)),"-")</f>
        <v>-</v>
      </c>
      <c r="J202" s="15" t="str">
        <f>IFERROR(INDEX('SSA7'!E:E,MATCH(Total!B202,'SSA7'!B:B,0)),"-")</f>
        <v>-</v>
      </c>
    </row>
    <row r="203" spans="1:10" ht="22.2" customHeight="1" x14ac:dyDescent="0.55000000000000004">
      <c r="A203" s="15">
        <v>201</v>
      </c>
      <c r="B203" s="36" t="s">
        <v>545</v>
      </c>
      <c r="C203" s="37" t="s">
        <v>356</v>
      </c>
      <c r="D203" s="37" t="s">
        <v>111</v>
      </c>
      <c r="E203" s="25" t="str">
        <f>IFERROR(INDEX('SSA1'!E:E,MATCH(Total!B203,'SSA1'!B:B,0)),"-")</f>
        <v>-</v>
      </c>
      <c r="F203" s="25" t="str">
        <f>IFERROR(INDEX('SSA2'!E:E,MATCH(Total!B203,'SSA2'!B:B,0)),"-")</f>
        <v>-</v>
      </c>
      <c r="G203" s="15" t="str">
        <f>IFERROR(INDEX('SSA3'!E:E,MATCH(Total!B203,'SSA3'!B:B,0)),"-")</f>
        <v>-</v>
      </c>
      <c r="H203" s="15" t="str">
        <f>IFERROR(INDEX('SSA5'!E:E,MATCH(Total!B203,'SSA5'!B:B,0)),"-")</f>
        <v>-</v>
      </c>
      <c r="I203" s="15" t="str">
        <f>IFERROR(INDEX('SSA6'!E:E,MATCH(Total!B203,'SSA6'!B:B,0)),"-")</f>
        <v>-</v>
      </c>
      <c r="J203" s="15" t="str">
        <f>IFERROR(INDEX('SSA7'!E:E,MATCH(Total!B203,'SSA7'!B:B,0)),"-")</f>
        <v>-</v>
      </c>
    </row>
    <row r="204" spans="1:10" ht="22.2" customHeight="1" x14ac:dyDescent="0.55000000000000004">
      <c r="A204" s="15">
        <v>202</v>
      </c>
      <c r="B204" s="36" t="s">
        <v>546</v>
      </c>
      <c r="C204" s="37" t="s">
        <v>357</v>
      </c>
      <c r="D204" s="37" t="s">
        <v>25</v>
      </c>
      <c r="E204" s="25" t="str">
        <f>IFERROR(INDEX('SSA1'!E:E,MATCH(Total!B204,'SSA1'!B:B,0)),"-")</f>
        <v>-</v>
      </c>
      <c r="F204" s="25" t="str">
        <f>IFERROR(INDEX('SSA2'!E:E,MATCH(Total!B204,'SSA2'!B:B,0)),"-")</f>
        <v>-</v>
      </c>
      <c r="G204" s="15" t="str">
        <f>IFERROR(INDEX('SSA3'!E:E,MATCH(Total!B204,'SSA3'!B:B,0)),"-")</f>
        <v>-</v>
      </c>
      <c r="H204" s="15" t="str">
        <f>IFERROR(INDEX('SSA5'!E:E,MATCH(Total!B204,'SSA5'!B:B,0)),"-")</f>
        <v>-</v>
      </c>
      <c r="I204" s="15" t="str">
        <f>IFERROR(INDEX('SSA6'!E:E,MATCH(Total!B204,'SSA6'!B:B,0)),"-")</f>
        <v>-</v>
      </c>
      <c r="J204" s="15" t="str">
        <f>IFERROR(INDEX('SSA7'!E:E,MATCH(Total!B204,'SSA7'!B:B,0)),"-")</f>
        <v>-</v>
      </c>
    </row>
    <row r="205" spans="1:10" ht="22.2" customHeight="1" x14ac:dyDescent="0.55000000000000004">
      <c r="A205" s="15">
        <v>203</v>
      </c>
      <c r="B205" s="36" t="s">
        <v>23</v>
      </c>
      <c r="C205" s="37" t="s">
        <v>358</v>
      </c>
      <c r="D205" s="37" t="s">
        <v>25</v>
      </c>
      <c r="E205" s="25">
        <f>IFERROR(INDEX('SSA1'!E:E,MATCH(Total!B205,'SSA1'!B:B,0)),"-")</f>
        <v>63</v>
      </c>
      <c r="F205" s="25">
        <f>IFERROR(INDEX('SSA2'!E:E,MATCH(Total!B205,'SSA2'!B:B,0)),"-")</f>
        <v>5</v>
      </c>
      <c r="G205" s="15">
        <f>IFERROR(INDEX('SSA3'!E:E,MATCH(Total!B205,'SSA3'!B:B,0)),"-")</f>
        <v>7</v>
      </c>
      <c r="H205" s="15">
        <f>IFERROR(INDEX('SSA5'!E:E,MATCH(Total!B205,'SSA5'!B:B,0)),"-")</f>
        <v>86</v>
      </c>
      <c r="I205" s="15" t="str">
        <f>IFERROR(INDEX('SSA6'!E:E,MATCH(Total!B205,'SSA6'!B:B,0)),"-")</f>
        <v>-</v>
      </c>
      <c r="J205" s="15">
        <f>IFERROR(INDEX('SSA7'!E:E,MATCH(Total!B205,'SSA7'!B:B,0)),"-")</f>
        <v>28</v>
      </c>
    </row>
    <row r="206" spans="1:10" ht="22.2" customHeight="1" x14ac:dyDescent="0.55000000000000004">
      <c r="A206" s="15">
        <v>204</v>
      </c>
      <c r="B206" s="36" t="s">
        <v>547</v>
      </c>
      <c r="C206" s="37" t="s">
        <v>359</v>
      </c>
      <c r="D206" s="37" t="s">
        <v>25</v>
      </c>
      <c r="E206" s="25" t="str">
        <f>IFERROR(INDEX('SSA1'!E:E,MATCH(Total!B206,'SSA1'!B:B,0)),"-")</f>
        <v>-</v>
      </c>
      <c r="F206" s="25" t="str">
        <f>IFERROR(INDEX('SSA2'!E:E,MATCH(Total!B206,'SSA2'!B:B,0)),"-")</f>
        <v>-</v>
      </c>
      <c r="G206" s="15" t="str">
        <f>IFERROR(INDEX('SSA3'!E:E,MATCH(Total!B206,'SSA3'!B:B,0)),"-")</f>
        <v>-</v>
      </c>
      <c r="H206" s="15" t="str">
        <f>IFERROR(INDEX('SSA5'!E:E,MATCH(Total!B206,'SSA5'!B:B,0)),"-")</f>
        <v>-</v>
      </c>
      <c r="I206" s="15" t="str">
        <f>IFERROR(INDEX('SSA6'!E:E,MATCH(Total!B206,'SSA6'!B:B,0)),"-")</f>
        <v>-</v>
      </c>
      <c r="J206" s="15" t="str">
        <f>IFERROR(INDEX('SSA7'!E:E,MATCH(Total!B206,'SSA7'!B:B,0)),"-")</f>
        <v>-</v>
      </c>
    </row>
    <row r="207" spans="1:10" ht="22.2" customHeight="1" x14ac:dyDescent="0.55000000000000004">
      <c r="A207" s="15">
        <v>205</v>
      </c>
      <c r="B207" s="36" t="s">
        <v>548</v>
      </c>
      <c r="C207" s="37" t="s">
        <v>360</v>
      </c>
      <c r="D207" s="37" t="s">
        <v>111</v>
      </c>
      <c r="E207" s="25" t="str">
        <f>IFERROR(INDEX('SSA1'!E:E,MATCH(Total!B207,'SSA1'!B:B,0)),"-")</f>
        <v>-</v>
      </c>
      <c r="F207" s="25" t="str">
        <f>IFERROR(INDEX('SSA2'!E:E,MATCH(Total!B207,'SSA2'!B:B,0)),"-")</f>
        <v>-</v>
      </c>
      <c r="G207" s="15" t="str">
        <f>IFERROR(INDEX('SSA3'!E:E,MATCH(Total!B207,'SSA3'!B:B,0)),"-")</f>
        <v>-</v>
      </c>
      <c r="H207" s="15" t="str">
        <f>IFERROR(INDEX('SSA5'!E:E,MATCH(Total!B207,'SSA5'!B:B,0)),"-")</f>
        <v>-</v>
      </c>
      <c r="I207" s="15" t="str">
        <f>IFERROR(INDEX('SSA6'!E:E,MATCH(Total!B207,'SSA6'!B:B,0)),"-")</f>
        <v>-</v>
      </c>
      <c r="J207" s="15" t="str">
        <f>IFERROR(INDEX('SSA7'!E:E,MATCH(Total!B207,'SSA7'!B:B,0)),"-")</f>
        <v>-</v>
      </c>
    </row>
    <row r="208" spans="1:10" ht="22.2" customHeight="1" x14ac:dyDescent="0.55000000000000004">
      <c r="A208" s="15">
        <v>206</v>
      </c>
      <c r="B208" s="36" t="s">
        <v>85</v>
      </c>
      <c r="C208" s="37" t="s">
        <v>361</v>
      </c>
      <c r="D208" s="37" t="s">
        <v>25</v>
      </c>
      <c r="E208" s="25">
        <f>IFERROR(INDEX('SSA1'!E:E,MATCH(Total!B208,'SSA1'!B:B,0)),"-")</f>
        <v>19</v>
      </c>
      <c r="F208" s="25">
        <f>IFERROR(INDEX('SSA2'!E:E,MATCH(Total!B208,'SSA2'!B:B,0)),"-")</f>
        <v>1</v>
      </c>
      <c r="G208" s="15">
        <f>IFERROR(INDEX('SSA3'!E:E,MATCH(Total!B208,'SSA3'!B:B,0)),"-")</f>
        <v>2</v>
      </c>
      <c r="H208" s="15">
        <f>IFERROR(INDEX('SSA5'!E:E,MATCH(Total!B208,'SSA5'!B:B,0)),"-")</f>
        <v>6</v>
      </c>
      <c r="I208" s="15">
        <f>IFERROR(INDEX('SSA6'!E:E,MATCH(Total!B208,'SSA6'!B:B,0)),"-")</f>
        <v>4</v>
      </c>
      <c r="J208" s="15" t="str">
        <f>IFERROR(INDEX('SSA7'!E:E,MATCH(Total!B208,'SSA7'!B:B,0)),"-")</f>
        <v>-</v>
      </c>
    </row>
    <row r="209" spans="1:10" ht="22.2" customHeight="1" x14ac:dyDescent="0.55000000000000004">
      <c r="A209" s="15">
        <v>207</v>
      </c>
      <c r="B209" s="36" t="s">
        <v>83</v>
      </c>
      <c r="C209" s="37" t="s">
        <v>362</v>
      </c>
      <c r="D209" s="37" t="s">
        <v>25</v>
      </c>
      <c r="E209" s="25">
        <f>IFERROR(INDEX('SSA1'!E:E,MATCH(Total!B209,'SSA1'!B:B,0)),"-")</f>
        <v>85</v>
      </c>
      <c r="F209" s="25">
        <f>IFERROR(INDEX('SSA2'!E:E,MATCH(Total!B209,'SSA2'!B:B,0)),"-")</f>
        <v>4</v>
      </c>
      <c r="G209" s="15">
        <f>IFERROR(INDEX('SSA3'!E:E,MATCH(Total!B209,'SSA3'!B:B,0)),"-")</f>
        <v>3</v>
      </c>
      <c r="H209" s="15">
        <f>IFERROR(INDEX('SSA5'!E:E,MATCH(Total!B209,'SSA5'!B:B,0)),"-")</f>
        <v>21</v>
      </c>
      <c r="I209" s="15">
        <f>IFERROR(INDEX('SSA6'!E:E,MATCH(Total!B209,'SSA6'!B:B,0)),"-")</f>
        <v>4</v>
      </c>
      <c r="J209" s="15">
        <f>IFERROR(INDEX('SSA7'!E:E,MATCH(Total!B209,'SSA7'!B:B,0)),"-")</f>
        <v>17</v>
      </c>
    </row>
    <row r="210" spans="1:10" ht="22.2" customHeight="1" x14ac:dyDescent="0.55000000000000004">
      <c r="A210" s="15">
        <v>208</v>
      </c>
      <c r="B210" s="36" t="s">
        <v>549</v>
      </c>
      <c r="C210" s="37" t="s">
        <v>363</v>
      </c>
      <c r="D210" s="37" t="s">
        <v>25</v>
      </c>
      <c r="E210" s="25" t="str">
        <f>IFERROR(INDEX('SSA1'!E:E,MATCH(Total!B210,'SSA1'!B:B,0)),"-")</f>
        <v>-</v>
      </c>
      <c r="F210" s="25" t="str">
        <f>IFERROR(INDEX('SSA2'!E:E,MATCH(Total!B210,'SSA2'!B:B,0)),"-")</f>
        <v>-</v>
      </c>
      <c r="G210" s="15" t="str">
        <f>IFERROR(INDEX('SSA3'!E:E,MATCH(Total!B210,'SSA3'!B:B,0)),"-")</f>
        <v>-</v>
      </c>
      <c r="H210" s="15" t="str">
        <f>IFERROR(INDEX('SSA5'!E:E,MATCH(Total!B210,'SSA5'!B:B,0)),"-")</f>
        <v>-</v>
      </c>
      <c r="I210" s="15" t="str">
        <f>IFERROR(INDEX('SSA6'!E:E,MATCH(Total!B210,'SSA6'!B:B,0)),"-")</f>
        <v>-</v>
      </c>
      <c r="J210" s="15" t="str">
        <f>IFERROR(INDEX('SSA7'!E:E,MATCH(Total!B210,'SSA7'!B:B,0)),"-")</f>
        <v>-</v>
      </c>
    </row>
    <row r="211" spans="1:10" ht="22.2" customHeight="1" x14ac:dyDescent="0.55000000000000004">
      <c r="A211" s="15">
        <v>209</v>
      </c>
      <c r="B211" s="36" t="s">
        <v>550</v>
      </c>
      <c r="C211" s="37" t="s">
        <v>364</v>
      </c>
      <c r="D211" s="37" t="s">
        <v>111</v>
      </c>
      <c r="E211" s="25" t="str">
        <f>IFERROR(INDEX('SSA1'!E:E,MATCH(Total!B211,'SSA1'!B:B,0)),"-")</f>
        <v>-</v>
      </c>
      <c r="F211" s="25" t="str">
        <f>IFERROR(INDEX('SSA2'!E:E,MATCH(Total!B211,'SSA2'!B:B,0)),"-")</f>
        <v>-</v>
      </c>
      <c r="G211" s="15" t="str">
        <f>IFERROR(INDEX('SSA3'!E:E,MATCH(Total!B211,'SSA3'!B:B,0)),"-")</f>
        <v>-</v>
      </c>
      <c r="H211" s="15" t="str">
        <f>IFERROR(INDEX('SSA5'!E:E,MATCH(Total!B211,'SSA5'!B:B,0)),"-")</f>
        <v>-</v>
      </c>
      <c r="I211" s="15" t="str">
        <f>IFERROR(INDEX('SSA6'!E:E,MATCH(Total!B211,'SSA6'!B:B,0)),"-")</f>
        <v>-</v>
      </c>
      <c r="J211" s="15" t="str">
        <f>IFERROR(INDEX('SSA7'!E:E,MATCH(Total!B211,'SSA7'!B:B,0)),"-")</f>
        <v>-</v>
      </c>
    </row>
    <row r="212" spans="1:10" ht="22.2" customHeight="1" x14ac:dyDescent="0.55000000000000004">
      <c r="A212" s="15">
        <v>210</v>
      </c>
      <c r="B212" s="36" t="s">
        <v>551</v>
      </c>
      <c r="C212" s="37" t="s">
        <v>365</v>
      </c>
      <c r="D212" s="37" t="s">
        <v>111</v>
      </c>
      <c r="E212" s="25" t="str">
        <f>IFERROR(INDEX('SSA1'!E:E,MATCH(Total!B212,'SSA1'!B:B,0)),"-")</f>
        <v>-</v>
      </c>
      <c r="F212" s="25" t="str">
        <f>IFERROR(INDEX('SSA2'!E:E,MATCH(Total!B212,'SSA2'!B:B,0)),"-")</f>
        <v>-</v>
      </c>
      <c r="G212" s="15" t="str">
        <f>IFERROR(INDEX('SSA3'!E:E,MATCH(Total!B212,'SSA3'!B:B,0)),"-")</f>
        <v>-</v>
      </c>
      <c r="H212" s="15" t="str">
        <f>IFERROR(INDEX('SSA5'!E:E,MATCH(Total!B212,'SSA5'!B:B,0)),"-")</f>
        <v>-</v>
      </c>
      <c r="I212" s="15" t="str">
        <f>IFERROR(INDEX('SSA6'!E:E,MATCH(Total!B212,'SSA6'!B:B,0)),"-")</f>
        <v>-</v>
      </c>
      <c r="J212" s="15" t="str">
        <f>IFERROR(INDEX('SSA7'!E:E,MATCH(Total!B212,'SSA7'!B:B,0)),"-")</f>
        <v>-</v>
      </c>
    </row>
    <row r="213" spans="1:10" ht="22.2" customHeight="1" x14ac:dyDescent="0.55000000000000004">
      <c r="A213" s="15">
        <v>211</v>
      </c>
      <c r="B213" s="36" t="s">
        <v>552</v>
      </c>
      <c r="C213" s="37" t="s">
        <v>366</v>
      </c>
      <c r="D213" s="37" t="s">
        <v>111</v>
      </c>
      <c r="E213" s="25" t="str">
        <f>IFERROR(INDEX('SSA1'!E:E,MATCH(Total!B213,'SSA1'!B:B,0)),"-")</f>
        <v>-</v>
      </c>
      <c r="F213" s="25" t="str">
        <f>IFERROR(INDEX('SSA2'!E:E,MATCH(Total!B213,'SSA2'!B:B,0)),"-")</f>
        <v>-</v>
      </c>
      <c r="G213" s="15" t="str">
        <f>IFERROR(INDEX('SSA3'!E:E,MATCH(Total!B213,'SSA3'!B:B,0)),"-")</f>
        <v>-</v>
      </c>
      <c r="H213" s="15" t="str">
        <f>IFERROR(INDEX('SSA5'!E:E,MATCH(Total!B213,'SSA5'!B:B,0)),"-")</f>
        <v>-</v>
      </c>
      <c r="I213" s="15" t="str">
        <f>IFERROR(INDEX('SSA6'!E:E,MATCH(Total!B213,'SSA6'!B:B,0)),"-")</f>
        <v>-</v>
      </c>
      <c r="J213" s="15" t="str">
        <f>IFERROR(INDEX('SSA7'!E:E,MATCH(Total!B213,'SSA7'!B:B,0)),"-")</f>
        <v>-</v>
      </c>
    </row>
    <row r="214" spans="1:10" ht="22.2" customHeight="1" x14ac:dyDescent="0.55000000000000004">
      <c r="A214" s="15">
        <v>212</v>
      </c>
      <c r="B214" s="36" t="s">
        <v>553</v>
      </c>
      <c r="C214" s="37" t="s">
        <v>367</v>
      </c>
      <c r="D214" s="37" t="s">
        <v>66</v>
      </c>
      <c r="E214" s="25" t="str">
        <f>IFERROR(INDEX('SSA1'!E:E,MATCH(Total!B214,'SSA1'!B:B,0)),"-")</f>
        <v>-</v>
      </c>
      <c r="F214" s="25" t="str">
        <f>IFERROR(INDEX('SSA2'!E:E,MATCH(Total!B214,'SSA2'!B:B,0)),"-")</f>
        <v>-</v>
      </c>
      <c r="G214" s="15" t="str">
        <f>IFERROR(INDEX('SSA3'!E:E,MATCH(Total!B214,'SSA3'!B:B,0)),"-")</f>
        <v>-</v>
      </c>
      <c r="H214" s="15" t="str">
        <f>IFERROR(INDEX('SSA5'!E:E,MATCH(Total!B214,'SSA5'!B:B,0)),"-")</f>
        <v>-</v>
      </c>
      <c r="I214" s="15" t="str">
        <f>IFERROR(INDEX('SSA6'!E:E,MATCH(Total!B214,'SSA6'!B:B,0)),"-")</f>
        <v>-</v>
      </c>
      <c r="J214" s="15" t="str">
        <f>IFERROR(INDEX('SSA7'!E:E,MATCH(Total!B214,'SSA7'!B:B,0)),"-")</f>
        <v>-</v>
      </c>
    </row>
    <row r="215" spans="1:10" ht="22.2" customHeight="1" x14ac:dyDescent="0.55000000000000004">
      <c r="A215" s="15">
        <v>213</v>
      </c>
      <c r="B215" s="36" t="s">
        <v>91</v>
      </c>
      <c r="C215" s="37" t="s">
        <v>368</v>
      </c>
      <c r="D215" s="37" t="s">
        <v>25</v>
      </c>
      <c r="E215" s="25">
        <f>IFERROR(INDEX('SSA1'!E:E,MATCH(Total!B215,'SSA1'!B:B,0)),"-")</f>
        <v>16</v>
      </c>
      <c r="F215" s="25" t="str">
        <f>IFERROR(INDEX('SSA2'!E:E,MATCH(Total!B215,'SSA2'!B:B,0)),"-")</f>
        <v>-</v>
      </c>
      <c r="G215" s="15">
        <f>IFERROR(INDEX('SSA3'!E:E,MATCH(Total!B215,'SSA3'!B:B,0)),"-")</f>
        <v>42</v>
      </c>
      <c r="H215" s="15">
        <f>IFERROR(INDEX('SSA5'!E:E,MATCH(Total!B215,'SSA5'!B:B,0)),"-")</f>
        <v>6</v>
      </c>
      <c r="I215" s="15">
        <f>IFERROR(INDEX('SSA6'!E:E,MATCH(Total!B215,'SSA6'!B:B,0)),"-")</f>
        <v>8</v>
      </c>
      <c r="J215" s="15">
        <f>IFERROR(INDEX('SSA7'!E:E,MATCH(Total!B215,'SSA7'!B:B,0)),"-")</f>
        <v>15</v>
      </c>
    </row>
    <row r="216" spans="1:10" ht="22.2" customHeight="1" x14ac:dyDescent="0.55000000000000004">
      <c r="A216" s="15">
        <v>214</v>
      </c>
      <c r="B216" s="36" t="s">
        <v>42</v>
      </c>
      <c r="C216" s="37" t="s">
        <v>369</v>
      </c>
      <c r="D216" s="37" t="s">
        <v>25</v>
      </c>
      <c r="E216" s="25">
        <f>IFERROR(INDEX('SSA1'!E:E,MATCH(Total!B216,'SSA1'!B:B,0)),"-")</f>
        <v>17</v>
      </c>
      <c r="F216" s="25">
        <f>IFERROR(INDEX('SSA2'!E:E,MATCH(Total!B216,'SSA2'!B:B,0)),"-")</f>
        <v>12</v>
      </c>
      <c r="G216" s="15">
        <f>IFERROR(INDEX('SSA3'!E:E,MATCH(Total!B216,'SSA3'!B:B,0)),"-")</f>
        <v>16</v>
      </c>
      <c r="H216" s="15">
        <f>IFERROR(INDEX('SSA5'!E:E,MATCH(Total!B216,'SSA5'!B:B,0)),"-")</f>
        <v>44</v>
      </c>
      <c r="I216" s="15" t="str">
        <f>IFERROR(INDEX('SSA6'!E:E,MATCH(Total!B216,'SSA6'!B:B,0)),"-")</f>
        <v>-</v>
      </c>
      <c r="J216" s="15">
        <f>IFERROR(INDEX('SSA7'!E:E,MATCH(Total!B216,'SSA7'!B:B,0)),"-")</f>
        <v>17</v>
      </c>
    </row>
    <row r="217" spans="1:10" ht="22.2" customHeight="1" x14ac:dyDescent="0.55000000000000004">
      <c r="A217" s="15">
        <v>215</v>
      </c>
      <c r="B217" s="36" t="s">
        <v>554</v>
      </c>
      <c r="C217" s="37" t="s">
        <v>370</v>
      </c>
      <c r="D217" s="37" t="s">
        <v>25</v>
      </c>
      <c r="E217" s="25" t="str">
        <f>IFERROR(INDEX('SSA1'!E:E,MATCH(Total!B217,'SSA1'!B:B,0)),"-")</f>
        <v>-</v>
      </c>
      <c r="F217" s="25" t="str">
        <f>IFERROR(INDEX('SSA2'!E:E,MATCH(Total!B217,'SSA2'!B:B,0)),"-")</f>
        <v>-</v>
      </c>
      <c r="G217" s="15" t="str">
        <f>IFERROR(INDEX('SSA3'!E:E,MATCH(Total!B217,'SSA3'!B:B,0)),"-")</f>
        <v>-</v>
      </c>
      <c r="H217" s="15" t="str">
        <f>IFERROR(INDEX('SSA5'!E:E,MATCH(Total!B217,'SSA5'!B:B,0)),"-")</f>
        <v>-</v>
      </c>
      <c r="I217" s="15" t="str">
        <f>IFERROR(INDEX('SSA6'!E:E,MATCH(Total!B217,'SSA6'!B:B,0)),"-")</f>
        <v>-</v>
      </c>
      <c r="J217" s="15" t="str">
        <f>IFERROR(INDEX('SSA7'!E:E,MATCH(Total!B217,'SSA7'!B:B,0)),"-")</f>
        <v>-</v>
      </c>
    </row>
    <row r="218" spans="1:10" ht="22.2" customHeight="1" x14ac:dyDescent="0.55000000000000004">
      <c r="A218" s="15">
        <v>216</v>
      </c>
      <c r="B218" s="36" t="s">
        <v>555</v>
      </c>
      <c r="C218" s="37" t="s">
        <v>371</v>
      </c>
      <c r="D218" s="37" t="s">
        <v>25</v>
      </c>
      <c r="E218" s="25" t="str">
        <f>IFERROR(INDEX('SSA1'!E:E,MATCH(Total!B218,'SSA1'!B:B,0)),"-")</f>
        <v>-</v>
      </c>
      <c r="F218" s="25" t="str">
        <f>IFERROR(INDEX('SSA2'!E:E,MATCH(Total!B218,'SSA2'!B:B,0)),"-")</f>
        <v>-</v>
      </c>
      <c r="G218" s="15" t="str">
        <f>IFERROR(INDEX('SSA3'!E:E,MATCH(Total!B218,'SSA3'!B:B,0)),"-")</f>
        <v>-</v>
      </c>
      <c r="H218" s="15" t="str">
        <f>IFERROR(INDEX('SSA5'!E:E,MATCH(Total!B218,'SSA5'!B:B,0)),"-")</f>
        <v>-</v>
      </c>
      <c r="I218" s="15" t="str">
        <f>IFERROR(INDEX('SSA6'!E:E,MATCH(Total!B218,'SSA6'!B:B,0)),"-")</f>
        <v>-</v>
      </c>
      <c r="J218" s="15" t="str">
        <f>IFERROR(INDEX('SSA7'!E:E,MATCH(Total!B218,'SSA7'!B:B,0)),"-")</f>
        <v>-</v>
      </c>
    </row>
    <row r="219" spans="1:10" ht="22.2" customHeight="1" x14ac:dyDescent="0.55000000000000004">
      <c r="A219" s="15">
        <v>217</v>
      </c>
      <c r="B219" s="36" t="s">
        <v>556</v>
      </c>
      <c r="C219" s="37" t="s">
        <v>372</v>
      </c>
      <c r="D219" s="37" t="s">
        <v>577</v>
      </c>
      <c r="E219" s="25" t="str">
        <f>IFERROR(INDEX('SSA1'!E:E,MATCH(Total!B219,'SSA1'!B:B,0)),"-")</f>
        <v>-</v>
      </c>
      <c r="F219" s="25" t="str">
        <f>IFERROR(INDEX('SSA2'!E:E,MATCH(Total!B219,'SSA2'!B:B,0)),"-")</f>
        <v>-</v>
      </c>
      <c r="G219" s="15" t="str">
        <f>IFERROR(INDEX('SSA3'!E:E,MATCH(Total!B219,'SSA3'!B:B,0)),"-")</f>
        <v>-</v>
      </c>
      <c r="H219" s="15">
        <f>IFERROR(INDEX('SSA5'!E:E,MATCH(Total!B219,'SSA5'!B:B,0)),"-")</f>
        <v>500</v>
      </c>
      <c r="I219" s="15" t="str">
        <f>IFERROR(INDEX('SSA6'!E:E,MATCH(Total!B219,'SSA6'!B:B,0)),"-")</f>
        <v>-</v>
      </c>
      <c r="J219" s="15" t="str">
        <f>IFERROR(INDEX('SSA7'!E:E,MATCH(Total!B219,'SSA7'!B:B,0)),"-")</f>
        <v>-</v>
      </c>
    </row>
    <row r="220" spans="1:10" ht="22.2" customHeight="1" x14ac:dyDescent="0.55000000000000004">
      <c r="A220" s="15">
        <v>218</v>
      </c>
      <c r="B220" s="36" t="s">
        <v>557</v>
      </c>
      <c r="C220" s="37" t="s">
        <v>373</v>
      </c>
      <c r="D220" s="37" t="s">
        <v>577</v>
      </c>
      <c r="E220" s="25" t="str">
        <f>IFERROR(INDEX('SSA1'!E:E,MATCH(Total!B220,'SSA1'!B:B,0)),"-")</f>
        <v>-</v>
      </c>
      <c r="F220" s="25" t="str">
        <f>IFERROR(INDEX('SSA2'!E:E,MATCH(Total!B220,'SSA2'!B:B,0)),"-")</f>
        <v>-</v>
      </c>
      <c r="G220" s="15" t="str">
        <f>IFERROR(INDEX('SSA3'!E:E,MATCH(Total!B220,'SSA3'!B:B,0)),"-")</f>
        <v>-</v>
      </c>
      <c r="H220" s="15" t="str">
        <f>IFERROR(INDEX('SSA5'!E:E,MATCH(Total!B220,'SSA5'!B:B,0)),"-")</f>
        <v>-</v>
      </c>
      <c r="I220" s="15" t="str">
        <f>IFERROR(INDEX('SSA6'!E:E,MATCH(Total!B220,'SSA6'!B:B,0)),"-")</f>
        <v>-</v>
      </c>
      <c r="J220" s="15" t="str">
        <f>IFERROR(INDEX('SSA7'!E:E,MATCH(Total!B220,'SSA7'!B:B,0)),"-")</f>
        <v>-</v>
      </c>
    </row>
    <row r="221" spans="1:10" ht="22.2" customHeight="1" x14ac:dyDescent="0.55000000000000004">
      <c r="A221" s="15">
        <v>219</v>
      </c>
      <c r="B221" s="36" t="s">
        <v>126</v>
      </c>
      <c r="C221" s="37" t="s">
        <v>374</v>
      </c>
      <c r="D221" s="37" t="s">
        <v>19</v>
      </c>
      <c r="E221" s="25">
        <f>IFERROR(INDEX('SSA1'!E:E,MATCH(Total!B221,'SSA1'!B:B,0)),"-")</f>
        <v>276</v>
      </c>
      <c r="F221" s="25">
        <f>IFERROR(INDEX('SSA2'!E:E,MATCH(Total!B221,'SSA2'!B:B,0)),"-")</f>
        <v>10</v>
      </c>
      <c r="G221" s="15">
        <f>IFERROR(INDEX('SSA3'!E:E,MATCH(Total!B221,'SSA3'!B:B,0)),"-")</f>
        <v>90</v>
      </c>
      <c r="H221" s="15">
        <f>IFERROR(INDEX('SSA5'!E:E,MATCH(Total!B221,'SSA5'!B:B,0)),"-")</f>
        <v>156</v>
      </c>
      <c r="I221" s="15">
        <f>IFERROR(INDEX('SSA6'!E:E,MATCH(Total!B221,'SSA6'!B:B,0)),"-")</f>
        <v>59</v>
      </c>
      <c r="J221" s="15">
        <f>IFERROR(INDEX('SSA7'!E:E,MATCH(Total!B221,'SSA7'!B:B,0)),"-")</f>
        <v>140</v>
      </c>
    </row>
    <row r="222" spans="1:10" ht="22.2" customHeight="1" x14ac:dyDescent="0.55000000000000004">
      <c r="A222" s="15">
        <v>220</v>
      </c>
      <c r="B222" s="36" t="s">
        <v>558</v>
      </c>
      <c r="C222" s="37" t="s">
        <v>375</v>
      </c>
      <c r="D222" s="37" t="s">
        <v>19</v>
      </c>
      <c r="E222" s="25" t="str">
        <f>IFERROR(INDEX('SSA1'!E:E,MATCH(Total!B222,'SSA1'!B:B,0)),"-")</f>
        <v>-</v>
      </c>
      <c r="F222" s="25" t="str">
        <f>IFERROR(INDEX('SSA2'!E:E,MATCH(Total!B222,'SSA2'!B:B,0)),"-")</f>
        <v>-</v>
      </c>
      <c r="G222" s="15" t="str">
        <f>IFERROR(INDEX('SSA3'!E:E,MATCH(Total!B222,'SSA3'!B:B,0)),"-")</f>
        <v>-</v>
      </c>
      <c r="H222" s="15" t="str">
        <f>IFERROR(INDEX('SSA5'!E:E,MATCH(Total!B222,'SSA5'!B:B,0)),"-")</f>
        <v>-</v>
      </c>
      <c r="I222" s="15" t="str">
        <f>IFERROR(INDEX('SSA6'!E:E,MATCH(Total!B222,'SSA6'!B:B,0)),"-")</f>
        <v>-</v>
      </c>
      <c r="J222" s="15" t="str">
        <f>IFERROR(INDEX('SSA7'!E:E,MATCH(Total!B222,'SSA7'!B:B,0)),"-")</f>
        <v>-</v>
      </c>
    </row>
    <row r="223" spans="1:10" ht="22.2" customHeight="1" x14ac:dyDescent="0.55000000000000004">
      <c r="A223" s="15">
        <v>221</v>
      </c>
      <c r="B223" s="36" t="s">
        <v>559</v>
      </c>
      <c r="C223" s="37" t="s">
        <v>376</v>
      </c>
      <c r="D223" s="37" t="s">
        <v>22</v>
      </c>
      <c r="E223" s="25" t="str">
        <f>IFERROR(INDEX('SSA1'!E:E,MATCH(Total!B223,'SSA1'!B:B,0)),"-")</f>
        <v>-</v>
      </c>
      <c r="F223" s="25" t="str">
        <f>IFERROR(INDEX('SSA2'!E:E,MATCH(Total!B223,'SSA2'!B:B,0)),"-")</f>
        <v>-</v>
      </c>
      <c r="G223" s="15" t="str">
        <f>IFERROR(INDEX('SSA3'!E:E,MATCH(Total!B223,'SSA3'!B:B,0)),"-")</f>
        <v>-</v>
      </c>
      <c r="H223" s="15" t="str">
        <f>IFERROR(INDEX('SSA5'!E:E,MATCH(Total!B223,'SSA5'!B:B,0)),"-")</f>
        <v>-</v>
      </c>
      <c r="I223" s="15" t="str">
        <f>IFERROR(INDEX('SSA6'!E:E,MATCH(Total!B223,'SSA6'!B:B,0)),"-")</f>
        <v>-</v>
      </c>
      <c r="J223" s="15" t="str">
        <f>IFERROR(INDEX('SSA7'!E:E,MATCH(Total!B223,'SSA7'!B:B,0)),"-")</f>
        <v>-</v>
      </c>
    </row>
    <row r="224" spans="1:10" ht="22.2" customHeight="1" x14ac:dyDescent="0.55000000000000004">
      <c r="A224" s="15">
        <v>222</v>
      </c>
      <c r="B224" s="36" t="s">
        <v>54</v>
      </c>
      <c r="C224" s="37" t="s">
        <v>377</v>
      </c>
      <c r="D224" s="37" t="s">
        <v>19</v>
      </c>
      <c r="E224" s="25">
        <f>IFERROR(INDEX('SSA1'!E:E,MATCH(Total!B224,'SSA1'!B:B,0)),"-")</f>
        <v>1853</v>
      </c>
      <c r="F224" s="25">
        <f>IFERROR(INDEX('SSA2'!E:E,MATCH(Total!B224,'SSA2'!B:B,0)),"-")</f>
        <v>23</v>
      </c>
      <c r="G224" s="15">
        <f>IFERROR(INDEX('SSA3'!E:E,MATCH(Total!B224,'SSA3'!B:B,0)),"-")</f>
        <v>583</v>
      </c>
      <c r="H224" s="15">
        <f>IFERROR(INDEX('SSA5'!E:E,MATCH(Total!B224,'SSA5'!B:B,0)),"-")</f>
        <v>1252</v>
      </c>
      <c r="I224" s="15">
        <f>IFERROR(INDEX('SSA6'!E:E,MATCH(Total!B224,'SSA6'!B:B,0)),"-")</f>
        <v>262</v>
      </c>
      <c r="J224" s="15">
        <f>IFERROR(INDEX('SSA7'!E:E,MATCH(Total!B224,'SSA7'!B:B,0)),"-")</f>
        <v>371</v>
      </c>
    </row>
    <row r="225" spans="1:10" ht="22.2" customHeight="1" x14ac:dyDescent="0.55000000000000004">
      <c r="A225" s="15">
        <v>223</v>
      </c>
      <c r="B225" s="36" t="s">
        <v>132</v>
      </c>
      <c r="C225" s="37" t="s">
        <v>378</v>
      </c>
      <c r="D225" s="37" t="s">
        <v>4</v>
      </c>
      <c r="E225" s="25">
        <f>IFERROR(INDEX('SSA1'!E:E,MATCH(Total!B225,'SSA1'!B:B,0)),"-")</f>
        <v>10</v>
      </c>
      <c r="F225" s="25" t="str">
        <f>IFERROR(INDEX('SSA2'!E:E,MATCH(Total!B225,'SSA2'!B:B,0)),"-")</f>
        <v>-</v>
      </c>
      <c r="G225" s="15">
        <f>IFERROR(INDEX('SSA3'!E:E,MATCH(Total!B225,'SSA3'!B:B,0)),"-")</f>
        <v>3</v>
      </c>
      <c r="H225" s="15">
        <f>IFERROR(INDEX('SSA5'!E:E,MATCH(Total!B225,'SSA5'!B:B,0)),"-")</f>
        <v>13</v>
      </c>
      <c r="I225" s="15">
        <f>IFERROR(INDEX('SSA6'!E:E,MATCH(Total!B225,'SSA6'!B:B,0)),"-")</f>
        <v>7</v>
      </c>
      <c r="J225" s="15">
        <f>IFERROR(INDEX('SSA7'!E:E,MATCH(Total!B225,'SSA7'!B:B,0)),"-")</f>
        <v>12</v>
      </c>
    </row>
    <row r="226" spans="1:10" ht="22.2" customHeight="1" x14ac:dyDescent="0.55000000000000004">
      <c r="A226" s="15">
        <v>224</v>
      </c>
      <c r="B226" s="36" t="s">
        <v>134</v>
      </c>
      <c r="C226" s="37" t="s">
        <v>379</v>
      </c>
      <c r="D226" s="37" t="s">
        <v>4</v>
      </c>
      <c r="E226" s="25">
        <f>IFERROR(INDEX('SSA1'!E:E,MATCH(Total!B226,'SSA1'!B:B,0)),"-")</f>
        <v>10</v>
      </c>
      <c r="F226" s="25" t="str">
        <f>IFERROR(INDEX('SSA2'!E:E,MATCH(Total!B226,'SSA2'!B:B,0)),"-")</f>
        <v>-</v>
      </c>
      <c r="G226" s="15">
        <f>IFERROR(INDEX('SSA3'!E:E,MATCH(Total!B226,'SSA3'!B:B,0)),"-")</f>
        <v>2</v>
      </c>
      <c r="H226" s="15">
        <f>IFERROR(INDEX('SSA5'!E:E,MATCH(Total!B226,'SSA5'!B:B,0)),"-")</f>
        <v>8</v>
      </c>
      <c r="I226" s="15">
        <f>IFERROR(INDEX('SSA6'!E:E,MATCH(Total!B226,'SSA6'!B:B,0)),"-")</f>
        <v>3</v>
      </c>
      <c r="J226" s="15">
        <f>IFERROR(INDEX('SSA7'!E:E,MATCH(Total!B226,'SSA7'!B:B,0)),"-")</f>
        <v>5</v>
      </c>
    </row>
    <row r="227" spans="1:10" ht="22.2" customHeight="1" x14ac:dyDescent="0.55000000000000004">
      <c r="A227" s="15">
        <v>225</v>
      </c>
      <c r="B227" s="36" t="s">
        <v>560</v>
      </c>
      <c r="C227" s="37" t="s">
        <v>380</v>
      </c>
      <c r="D227" s="37" t="s">
        <v>577</v>
      </c>
      <c r="E227" s="25" t="str">
        <f>IFERROR(INDEX('SSA1'!E:E,MATCH(Total!B227,'SSA1'!B:B,0)),"-")</f>
        <v>-</v>
      </c>
      <c r="F227" s="25" t="str">
        <f>IFERROR(INDEX('SSA2'!E:E,MATCH(Total!B227,'SSA2'!B:B,0)),"-")</f>
        <v>-</v>
      </c>
      <c r="G227" s="15" t="str">
        <f>IFERROR(INDEX('SSA3'!E:E,MATCH(Total!B227,'SSA3'!B:B,0)),"-")</f>
        <v>-</v>
      </c>
      <c r="H227" s="15" t="str">
        <f>IFERROR(INDEX('SSA5'!E:E,MATCH(Total!B227,'SSA5'!B:B,0)),"-")</f>
        <v>-</v>
      </c>
      <c r="I227" s="15" t="str">
        <f>IFERROR(INDEX('SSA6'!E:E,MATCH(Total!B227,'SSA6'!B:B,0)),"-")</f>
        <v>-</v>
      </c>
      <c r="J227" s="15" t="str">
        <f>IFERROR(INDEX('SSA7'!E:E,MATCH(Total!B227,'SSA7'!B:B,0)),"-")</f>
        <v>-</v>
      </c>
    </row>
    <row r="228" spans="1:10" ht="22.2" customHeight="1" x14ac:dyDescent="0.55000000000000004">
      <c r="A228" s="15">
        <v>226</v>
      </c>
      <c r="B228" s="36" t="s">
        <v>561</v>
      </c>
      <c r="C228" s="37" t="s">
        <v>381</v>
      </c>
      <c r="D228" s="37" t="s">
        <v>19</v>
      </c>
      <c r="E228" s="25" t="str">
        <f>IFERROR(INDEX('SSA1'!E:E,MATCH(Total!B228,'SSA1'!B:B,0)),"-")</f>
        <v>-</v>
      </c>
      <c r="F228" s="25" t="str">
        <f>IFERROR(INDEX('SSA2'!E:E,MATCH(Total!B228,'SSA2'!B:B,0)),"-")</f>
        <v>-</v>
      </c>
      <c r="G228" s="15" t="str">
        <f>IFERROR(INDEX('SSA3'!E:E,MATCH(Total!B228,'SSA3'!B:B,0)),"-")</f>
        <v>-</v>
      </c>
      <c r="H228" s="15" t="str">
        <f>IFERROR(INDEX('SSA5'!E:E,MATCH(Total!B228,'SSA5'!B:B,0)),"-")</f>
        <v>-</v>
      </c>
      <c r="I228" s="15" t="str">
        <f>IFERROR(INDEX('SSA6'!E:E,MATCH(Total!B228,'SSA6'!B:B,0)),"-")</f>
        <v>-</v>
      </c>
      <c r="J228" s="15" t="str">
        <f>IFERROR(INDEX('SSA7'!E:E,MATCH(Total!B228,'SSA7'!B:B,0)),"-")</f>
        <v>-</v>
      </c>
    </row>
    <row r="229" spans="1:10" ht="22.2" customHeight="1" x14ac:dyDescent="0.55000000000000004">
      <c r="A229" s="15">
        <v>227</v>
      </c>
      <c r="B229" s="36" t="s">
        <v>52</v>
      </c>
      <c r="C229" s="37" t="s">
        <v>382</v>
      </c>
      <c r="D229" s="37" t="s">
        <v>19</v>
      </c>
      <c r="E229" s="25">
        <f>IFERROR(INDEX('SSA1'!E:E,MATCH(Total!B229,'SSA1'!B:B,0)),"-")</f>
        <v>554</v>
      </c>
      <c r="F229" s="25">
        <f>IFERROR(INDEX('SSA2'!E:E,MATCH(Total!B229,'SSA2'!B:B,0)),"-")</f>
        <v>28</v>
      </c>
      <c r="G229" s="15">
        <f>IFERROR(INDEX('SSA3'!E:E,MATCH(Total!B229,'SSA3'!B:B,0)),"-")</f>
        <v>266</v>
      </c>
      <c r="H229" s="15">
        <f>IFERROR(INDEX('SSA5'!E:E,MATCH(Total!B229,'SSA5'!B:B,0)),"-")</f>
        <v>275</v>
      </c>
      <c r="I229" s="15">
        <f>IFERROR(INDEX('SSA6'!E:E,MATCH(Total!B229,'SSA6'!B:B,0)),"-")</f>
        <v>138</v>
      </c>
      <c r="J229" s="15">
        <f>IFERROR(INDEX('SSA7'!E:E,MATCH(Total!B229,'SSA7'!B:B,0)),"-")</f>
        <v>296</v>
      </c>
    </row>
    <row r="230" spans="1:10" ht="22.2" customHeight="1" x14ac:dyDescent="0.55000000000000004">
      <c r="A230" s="15">
        <v>228</v>
      </c>
      <c r="B230" s="36" t="s">
        <v>56</v>
      </c>
      <c r="C230" s="37" t="s">
        <v>383</v>
      </c>
      <c r="D230" s="37" t="s">
        <v>19</v>
      </c>
      <c r="E230" s="25">
        <f>IFERROR(INDEX('SSA1'!E:E,MATCH(Total!B230,'SSA1'!B:B,0)),"-")</f>
        <v>770</v>
      </c>
      <c r="F230" s="25">
        <f>IFERROR(INDEX('SSA2'!E:E,MATCH(Total!B230,'SSA2'!B:B,0)),"-")</f>
        <v>43</v>
      </c>
      <c r="G230" s="15">
        <f>IFERROR(INDEX('SSA3'!E:E,MATCH(Total!B230,'SSA3'!B:B,0)),"-")</f>
        <v>188</v>
      </c>
      <c r="H230" s="15">
        <f>IFERROR(INDEX('SSA5'!E:E,MATCH(Total!B230,'SSA5'!B:B,0)),"-")</f>
        <v>317</v>
      </c>
      <c r="I230" s="15">
        <f>IFERROR(INDEX('SSA6'!E:E,MATCH(Total!B230,'SSA6'!B:B,0)),"-")</f>
        <v>53</v>
      </c>
      <c r="J230" s="15">
        <f>IFERROR(INDEX('SSA7'!E:E,MATCH(Total!B230,'SSA7'!B:B,0)),"-")</f>
        <v>309</v>
      </c>
    </row>
    <row r="231" spans="1:10" ht="22.2" customHeight="1" x14ac:dyDescent="0.55000000000000004">
      <c r="A231" s="15">
        <v>229</v>
      </c>
      <c r="B231" s="36" t="s">
        <v>562</v>
      </c>
      <c r="C231" s="37" t="s">
        <v>384</v>
      </c>
      <c r="D231" s="37" t="s">
        <v>19</v>
      </c>
      <c r="E231" s="25" t="str">
        <f>IFERROR(INDEX('SSA1'!E:E,MATCH(Total!B231,'SSA1'!B:B,0)),"-")</f>
        <v>-</v>
      </c>
      <c r="F231" s="25" t="str">
        <f>IFERROR(INDEX('SSA2'!E:E,MATCH(Total!B231,'SSA2'!B:B,0)),"-")</f>
        <v>-</v>
      </c>
      <c r="G231" s="15" t="str">
        <f>IFERROR(INDEX('SSA3'!E:E,MATCH(Total!B231,'SSA3'!B:B,0)),"-")</f>
        <v>-</v>
      </c>
      <c r="H231" s="15" t="str">
        <f>IFERROR(INDEX('SSA5'!E:E,MATCH(Total!B231,'SSA5'!B:B,0)),"-")</f>
        <v>-</v>
      </c>
      <c r="I231" s="15" t="str">
        <f>IFERROR(INDEX('SSA6'!E:E,MATCH(Total!B231,'SSA6'!B:B,0)),"-")</f>
        <v>-</v>
      </c>
      <c r="J231" s="15" t="str">
        <f>IFERROR(INDEX('SSA7'!E:E,MATCH(Total!B231,'SSA7'!B:B,0)),"-")</f>
        <v>-</v>
      </c>
    </row>
    <row r="232" spans="1:10" ht="22.2" customHeight="1" x14ac:dyDescent="0.55000000000000004">
      <c r="A232" s="15">
        <v>230</v>
      </c>
      <c r="B232" s="36" t="s">
        <v>563</v>
      </c>
      <c r="C232" s="37" t="s">
        <v>385</v>
      </c>
      <c r="D232" s="37" t="s">
        <v>19</v>
      </c>
      <c r="E232" s="25" t="str">
        <f>IFERROR(INDEX('SSA1'!E:E,MATCH(Total!B232,'SSA1'!B:B,0)),"-")</f>
        <v>-</v>
      </c>
      <c r="F232" s="25" t="str">
        <f>IFERROR(INDEX('SSA2'!E:E,MATCH(Total!B232,'SSA2'!B:B,0)),"-")</f>
        <v>-</v>
      </c>
      <c r="G232" s="15" t="str">
        <f>IFERROR(INDEX('SSA3'!E:E,MATCH(Total!B232,'SSA3'!B:B,0)),"-")</f>
        <v>-</v>
      </c>
      <c r="H232" s="15" t="str">
        <f>IFERROR(INDEX('SSA5'!E:E,MATCH(Total!B232,'SSA5'!B:B,0)),"-")</f>
        <v>-</v>
      </c>
      <c r="I232" s="15" t="str">
        <f>IFERROR(INDEX('SSA6'!E:E,MATCH(Total!B232,'SSA6'!B:B,0)),"-")</f>
        <v>-</v>
      </c>
      <c r="J232" s="15" t="str">
        <f>IFERROR(INDEX('SSA7'!E:E,MATCH(Total!B232,'SSA7'!B:B,0)),"-")</f>
        <v>-</v>
      </c>
    </row>
    <row r="233" spans="1:10" ht="22.2" customHeight="1" x14ac:dyDescent="0.55000000000000004">
      <c r="A233" s="15">
        <v>231</v>
      </c>
      <c r="B233" s="36" t="s">
        <v>564</v>
      </c>
      <c r="C233" s="37" t="s">
        <v>386</v>
      </c>
      <c r="D233" s="37" t="s">
        <v>25</v>
      </c>
      <c r="E233" s="25" t="str">
        <f>IFERROR(INDEX('SSA1'!E:E,MATCH(Total!B233,'SSA1'!B:B,0)),"-")</f>
        <v>-</v>
      </c>
      <c r="F233" s="25" t="str">
        <f>IFERROR(INDEX('SSA2'!E:E,MATCH(Total!B233,'SSA2'!B:B,0)),"-")</f>
        <v>-</v>
      </c>
      <c r="G233" s="15" t="str">
        <f>IFERROR(INDEX('SSA3'!E:E,MATCH(Total!B233,'SSA3'!B:B,0)),"-")</f>
        <v>-</v>
      </c>
      <c r="H233" s="15" t="str">
        <f>IFERROR(INDEX('SSA5'!E:E,MATCH(Total!B233,'SSA5'!B:B,0)),"-")</f>
        <v>-</v>
      </c>
      <c r="I233" s="15" t="str">
        <f>IFERROR(INDEX('SSA6'!E:E,MATCH(Total!B233,'SSA6'!B:B,0)),"-")</f>
        <v>-</v>
      </c>
      <c r="J233" s="15" t="str">
        <f>IFERROR(INDEX('SSA7'!E:E,MATCH(Total!B233,'SSA7'!B:B,0)),"-")</f>
        <v>-</v>
      </c>
    </row>
    <row r="234" spans="1:10" ht="22.2" customHeight="1" x14ac:dyDescent="0.55000000000000004">
      <c r="A234" s="15">
        <v>232</v>
      </c>
      <c r="B234" s="36" t="s">
        <v>99</v>
      </c>
      <c r="C234" s="37" t="s">
        <v>387</v>
      </c>
      <c r="D234" s="37" t="s">
        <v>25</v>
      </c>
      <c r="E234" s="25">
        <f>IFERROR(INDEX('SSA1'!E:E,MATCH(Total!B234,'SSA1'!B:B,0)),"-")</f>
        <v>19</v>
      </c>
      <c r="F234" s="25">
        <f>IFERROR(INDEX('SSA2'!E:E,MATCH(Total!B234,'SSA2'!B:B,0)),"-")</f>
        <v>1</v>
      </c>
      <c r="G234" s="15">
        <f>IFERROR(INDEX('SSA3'!E:E,MATCH(Total!B234,'SSA3'!B:B,0)),"-")</f>
        <v>20</v>
      </c>
      <c r="H234" s="15">
        <f>IFERROR(INDEX('SSA5'!E:E,MATCH(Total!B234,'SSA5'!B:B,0)),"-")</f>
        <v>48</v>
      </c>
      <c r="I234" s="15">
        <f>IFERROR(INDEX('SSA6'!E:E,MATCH(Total!B234,'SSA6'!B:B,0)),"-")</f>
        <v>6</v>
      </c>
      <c r="J234" s="15">
        <f>IFERROR(INDEX('SSA7'!E:E,MATCH(Total!B234,'SSA7'!B:B,0)),"-")</f>
        <v>6</v>
      </c>
    </row>
    <row r="235" spans="1:10" ht="22.2" customHeight="1" x14ac:dyDescent="0.55000000000000004">
      <c r="A235" s="15">
        <v>233</v>
      </c>
      <c r="B235" s="36" t="s">
        <v>565</v>
      </c>
      <c r="C235" s="37" t="s">
        <v>388</v>
      </c>
      <c r="D235" s="37" t="s">
        <v>22</v>
      </c>
      <c r="E235" s="25" t="str">
        <f>IFERROR(INDEX('SSA1'!E:E,MATCH(Total!B235,'SSA1'!B:B,0)),"-")</f>
        <v>-</v>
      </c>
      <c r="F235" s="25" t="str">
        <f>IFERROR(INDEX('SSA2'!E:E,MATCH(Total!B235,'SSA2'!B:B,0)),"-")</f>
        <v>-</v>
      </c>
      <c r="G235" s="15" t="str">
        <f>IFERROR(INDEX('SSA3'!E:E,MATCH(Total!B235,'SSA3'!B:B,0)),"-")</f>
        <v>-</v>
      </c>
      <c r="H235" s="15" t="str">
        <f>IFERROR(INDEX('SSA5'!E:E,MATCH(Total!B235,'SSA5'!B:B,0)),"-")</f>
        <v>-</v>
      </c>
      <c r="I235" s="15" t="str">
        <f>IFERROR(INDEX('SSA6'!E:E,MATCH(Total!B235,'SSA6'!B:B,0)),"-")</f>
        <v>-</v>
      </c>
      <c r="J235" s="15" t="str">
        <f>IFERROR(INDEX('SSA7'!E:E,MATCH(Total!B235,'SSA7'!B:B,0)),"-")</f>
        <v>-</v>
      </c>
    </row>
    <row r="236" spans="1:10" ht="22.2" customHeight="1" x14ac:dyDescent="0.55000000000000004">
      <c r="A236" s="15">
        <v>234</v>
      </c>
      <c r="B236" s="36" t="s">
        <v>566</v>
      </c>
      <c r="C236" s="37" t="s">
        <v>389</v>
      </c>
      <c r="D236" s="37" t="s">
        <v>25</v>
      </c>
      <c r="E236" s="25" t="str">
        <f>IFERROR(INDEX('SSA1'!E:E,MATCH(Total!B236,'SSA1'!B:B,0)),"-")</f>
        <v>-</v>
      </c>
      <c r="F236" s="25" t="str">
        <f>IFERROR(INDEX('SSA2'!E:E,MATCH(Total!B236,'SSA2'!B:B,0)),"-")</f>
        <v>-</v>
      </c>
      <c r="G236" s="15" t="str">
        <f>IFERROR(INDEX('SSA3'!E:E,MATCH(Total!B236,'SSA3'!B:B,0)),"-")</f>
        <v>-</v>
      </c>
      <c r="H236" s="15" t="str">
        <f>IFERROR(INDEX('SSA5'!E:E,MATCH(Total!B236,'SSA5'!B:B,0)),"-")</f>
        <v>-</v>
      </c>
      <c r="I236" s="15" t="str">
        <f>IFERROR(INDEX('SSA6'!E:E,MATCH(Total!B236,'SSA6'!B:B,0)),"-")</f>
        <v>-</v>
      </c>
      <c r="J236" s="15" t="str">
        <f>IFERROR(INDEX('SSA7'!E:E,MATCH(Total!B236,'SSA7'!B:B,0)),"-")</f>
        <v>-</v>
      </c>
    </row>
    <row r="237" spans="1:10" ht="22.2" customHeight="1" x14ac:dyDescent="0.55000000000000004">
      <c r="A237" s="15">
        <v>235</v>
      </c>
      <c r="B237" s="36" t="s">
        <v>101</v>
      </c>
      <c r="C237" s="37" t="s">
        <v>390</v>
      </c>
      <c r="D237" s="37" t="s">
        <v>25</v>
      </c>
      <c r="E237" s="25">
        <f>IFERROR(INDEX('SSA1'!E:E,MATCH(Total!B237,'SSA1'!B:B,0)),"-")</f>
        <v>29</v>
      </c>
      <c r="F237" s="25">
        <f>IFERROR(INDEX('SSA2'!E:E,MATCH(Total!B237,'SSA2'!B:B,0)),"-")</f>
        <v>2</v>
      </c>
      <c r="G237" s="15">
        <f>IFERROR(INDEX('SSA3'!E:E,MATCH(Total!B237,'SSA3'!B:B,0)),"-")</f>
        <v>34</v>
      </c>
      <c r="H237" s="15">
        <f>IFERROR(INDEX('SSA5'!E:E,MATCH(Total!B237,'SSA5'!B:B,0)),"-")</f>
        <v>32</v>
      </c>
      <c r="I237" s="15">
        <f>IFERROR(INDEX('SSA6'!E:E,MATCH(Total!B237,'SSA6'!B:B,0)),"-")</f>
        <v>7</v>
      </c>
      <c r="J237" s="15">
        <f>IFERROR(INDEX('SSA7'!E:E,MATCH(Total!B237,'SSA7'!B:B,0)),"-")</f>
        <v>18</v>
      </c>
    </row>
    <row r="238" spans="1:10" ht="22.2" customHeight="1" x14ac:dyDescent="0.55000000000000004">
      <c r="A238" s="15">
        <v>236</v>
      </c>
      <c r="B238" s="36" t="s">
        <v>567</v>
      </c>
      <c r="C238" s="37" t="s">
        <v>391</v>
      </c>
      <c r="D238" s="37" t="s">
        <v>22</v>
      </c>
      <c r="E238" s="25" t="str">
        <f>IFERROR(INDEX('SSA1'!E:E,MATCH(Total!B238,'SSA1'!B:B,0)),"-")</f>
        <v>-</v>
      </c>
      <c r="F238" s="25" t="str">
        <f>IFERROR(INDEX('SSA2'!E:E,MATCH(Total!B238,'SSA2'!B:B,0)),"-")</f>
        <v>-</v>
      </c>
      <c r="G238" s="15" t="str">
        <f>IFERROR(INDEX('SSA3'!E:E,MATCH(Total!B238,'SSA3'!B:B,0)),"-")</f>
        <v>-</v>
      </c>
      <c r="H238" s="15" t="str">
        <f>IFERROR(INDEX('SSA5'!E:E,MATCH(Total!B238,'SSA5'!B:B,0)),"-")</f>
        <v>-</v>
      </c>
      <c r="I238" s="15" t="str">
        <f>IFERROR(INDEX('SSA6'!E:E,MATCH(Total!B238,'SSA6'!B:B,0)),"-")</f>
        <v>-</v>
      </c>
      <c r="J238" s="15" t="str">
        <f>IFERROR(INDEX('SSA7'!E:E,MATCH(Total!B238,'SSA7'!B:B,0)),"-")</f>
        <v>-</v>
      </c>
    </row>
    <row r="239" spans="1:10" ht="22.2" customHeight="1" x14ac:dyDescent="0.55000000000000004">
      <c r="A239" s="15">
        <v>237</v>
      </c>
      <c r="B239" s="36" t="s">
        <v>568</v>
      </c>
      <c r="C239" s="37" t="s">
        <v>392</v>
      </c>
      <c r="D239" s="37" t="s">
        <v>111</v>
      </c>
      <c r="E239" s="25" t="str">
        <f>IFERROR(INDEX('SSA1'!E:E,MATCH(Total!B239,'SSA1'!B:B,0)),"-")</f>
        <v>-</v>
      </c>
      <c r="F239" s="25" t="str">
        <f>IFERROR(INDEX('SSA2'!E:E,MATCH(Total!B239,'SSA2'!B:B,0)),"-")</f>
        <v>-</v>
      </c>
      <c r="G239" s="15">
        <f>IFERROR(INDEX('SSA3'!E:E,MATCH(Total!B239,'SSA3'!B:B,0)),"-")</f>
        <v>3</v>
      </c>
      <c r="H239" s="15">
        <f>IFERROR(INDEX('SSA5'!E:E,MATCH(Total!B239,'SSA5'!B:B,0)),"-")</f>
        <v>1</v>
      </c>
      <c r="I239" s="15" t="str">
        <f>IFERROR(INDEX('SSA6'!E:E,MATCH(Total!B239,'SSA6'!B:B,0)),"-")</f>
        <v>-</v>
      </c>
      <c r="J239" s="15" t="str">
        <f>IFERROR(INDEX('SSA7'!E:E,MATCH(Total!B239,'SSA7'!B:B,0)),"-")</f>
        <v>-</v>
      </c>
    </row>
    <row r="240" spans="1:10" ht="22.2" customHeight="1" x14ac:dyDescent="0.55000000000000004">
      <c r="A240" s="15">
        <v>238</v>
      </c>
      <c r="B240" s="36" t="s">
        <v>569</v>
      </c>
      <c r="C240" s="37" t="s">
        <v>393</v>
      </c>
      <c r="D240" s="37" t="s">
        <v>25</v>
      </c>
      <c r="E240" s="25" t="str">
        <f>IFERROR(INDEX('SSA1'!E:E,MATCH(Total!B240,'SSA1'!B:B,0)),"-")</f>
        <v>-</v>
      </c>
      <c r="F240" s="25" t="str">
        <f>IFERROR(INDEX('SSA2'!E:E,MATCH(Total!B240,'SSA2'!B:B,0)),"-")</f>
        <v>-</v>
      </c>
      <c r="G240" s="15" t="str">
        <f>IFERROR(INDEX('SSA3'!E:E,MATCH(Total!B240,'SSA3'!B:B,0)),"-")</f>
        <v>-</v>
      </c>
      <c r="H240" s="15" t="str">
        <f>IFERROR(INDEX('SSA5'!E:E,MATCH(Total!B240,'SSA5'!B:B,0)),"-")</f>
        <v>-</v>
      </c>
      <c r="I240" s="15" t="str">
        <f>IFERROR(INDEX('SSA6'!E:E,MATCH(Total!B240,'SSA6'!B:B,0)),"-")</f>
        <v>-</v>
      </c>
      <c r="J240" s="15" t="str">
        <f>IFERROR(INDEX('SSA7'!E:E,MATCH(Total!B240,'SSA7'!B:B,0)),"-")</f>
        <v>-</v>
      </c>
    </row>
    <row r="241" spans="1:10" ht="22.2" customHeight="1" x14ac:dyDescent="0.55000000000000004">
      <c r="A241" s="15">
        <v>239</v>
      </c>
      <c r="B241" s="36" t="s">
        <v>570</v>
      </c>
      <c r="C241" s="37" t="s">
        <v>394</v>
      </c>
      <c r="D241" s="37" t="s">
        <v>25</v>
      </c>
      <c r="E241" s="25" t="str">
        <f>IFERROR(INDEX('SSA1'!E:E,MATCH(Total!B241,'SSA1'!B:B,0)),"-")</f>
        <v>-</v>
      </c>
      <c r="F241" s="25">
        <f>IFERROR(INDEX('SSA2'!E:E,MATCH(Total!B241,'SSA2'!B:B,0)),"-")</f>
        <v>1</v>
      </c>
      <c r="G241" s="15">
        <f>IFERROR(INDEX('SSA3'!E:E,MATCH(Total!B241,'SSA3'!B:B,0)),"-")</f>
        <v>36</v>
      </c>
      <c r="H241" s="15">
        <f>IFERROR(INDEX('SSA5'!E:E,MATCH(Total!B241,'SSA5'!B:B,0)),"-")</f>
        <v>14</v>
      </c>
      <c r="I241" s="15">
        <f>IFERROR(INDEX('SSA6'!E:E,MATCH(Total!B241,'SSA6'!B:B,0)),"-")</f>
        <v>2</v>
      </c>
      <c r="J241" s="15">
        <f>IFERROR(INDEX('SSA7'!E:E,MATCH(Total!B241,'SSA7'!B:B,0)),"-")</f>
        <v>7</v>
      </c>
    </row>
    <row r="242" spans="1:10" ht="22.2" customHeight="1" x14ac:dyDescent="0.55000000000000004">
      <c r="A242" s="15">
        <v>240</v>
      </c>
      <c r="B242" s="36" t="s">
        <v>107</v>
      </c>
      <c r="C242" s="37" t="s">
        <v>395</v>
      </c>
      <c r="D242" s="37" t="s">
        <v>25</v>
      </c>
      <c r="E242" s="25">
        <f>IFERROR(INDEX('SSA1'!E:E,MATCH(Total!B242,'SSA1'!B:B,0)),"-")</f>
        <v>34</v>
      </c>
      <c r="F242" s="25">
        <f>IFERROR(INDEX('SSA2'!E:E,MATCH(Total!B242,'SSA2'!B:B,0)),"-")</f>
        <v>3</v>
      </c>
      <c r="G242" s="15">
        <f>IFERROR(INDEX('SSA3'!E:E,MATCH(Total!B242,'SSA3'!B:B,0)),"-")</f>
        <v>17</v>
      </c>
      <c r="H242" s="15">
        <f>IFERROR(INDEX('SSA5'!E:E,MATCH(Total!B242,'SSA5'!B:B,0)),"-")</f>
        <v>19</v>
      </c>
      <c r="I242" s="15">
        <f>IFERROR(INDEX('SSA6'!E:E,MATCH(Total!B242,'SSA6'!B:B,0)),"-")</f>
        <v>3</v>
      </c>
      <c r="J242" s="15">
        <f>IFERROR(INDEX('SSA7'!E:E,MATCH(Total!B242,'SSA7'!B:B,0)),"-")</f>
        <v>17</v>
      </c>
    </row>
    <row r="243" spans="1:10" ht="22.2" customHeight="1" x14ac:dyDescent="0.55000000000000004">
      <c r="A243" s="15">
        <v>241</v>
      </c>
      <c r="B243" s="36" t="s">
        <v>571</v>
      </c>
      <c r="C243" s="37" t="s">
        <v>396</v>
      </c>
      <c r="D243" s="37" t="s">
        <v>22</v>
      </c>
      <c r="E243" s="25" t="str">
        <f>IFERROR(INDEX('SSA1'!E:E,MATCH(Total!B243,'SSA1'!B:B,0)),"-")</f>
        <v>-</v>
      </c>
      <c r="F243" s="25" t="str">
        <f>IFERROR(INDEX('SSA2'!E:E,MATCH(Total!B243,'SSA2'!B:B,0)),"-")</f>
        <v>-</v>
      </c>
      <c r="G243" s="15" t="str">
        <f>IFERROR(INDEX('SSA3'!E:E,MATCH(Total!B243,'SSA3'!B:B,0)),"-")</f>
        <v>-</v>
      </c>
      <c r="H243" s="15" t="str">
        <f>IFERROR(INDEX('SSA5'!E:E,MATCH(Total!B243,'SSA5'!B:B,0)),"-")</f>
        <v>-</v>
      </c>
      <c r="I243" s="15" t="str">
        <f>IFERROR(INDEX('SSA6'!E:E,MATCH(Total!B243,'SSA6'!B:B,0)),"-")</f>
        <v>-</v>
      </c>
      <c r="J243" s="15" t="str">
        <f>IFERROR(INDEX('SSA7'!E:E,MATCH(Total!B243,'SSA7'!B:B,0)),"-")</f>
        <v>-</v>
      </c>
    </row>
    <row r="244" spans="1:10" ht="22.2" customHeight="1" x14ac:dyDescent="0.55000000000000004">
      <c r="A244" s="15">
        <v>242</v>
      </c>
      <c r="B244" s="36" t="s">
        <v>572</v>
      </c>
      <c r="C244" s="37" t="s">
        <v>397</v>
      </c>
      <c r="D244" s="37" t="s">
        <v>19</v>
      </c>
      <c r="E244" s="25" t="str">
        <f>IFERROR(INDEX('SSA1'!E:E,MATCH(Total!B244,'SSA1'!B:B,0)),"-")</f>
        <v>-</v>
      </c>
      <c r="F244" s="25" t="str">
        <f>IFERROR(INDEX('SSA2'!E:E,MATCH(Total!B244,'SSA2'!B:B,0)),"-")</f>
        <v>-</v>
      </c>
      <c r="G244" s="15" t="str">
        <f>IFERROR(INDEX('SSA3'!E:E,MATCH(Total!B244,'SSA3'!B:B,0)),"-")</f>
        <v>-</v>
      </c>
      <c r="H244" s="15" t="str">
        <f>IFERROR(INDEX('SSA5'!E:E,MATCH(Total!B244,'SSA5'!B:B,0)),"-")</f>
        <v>-</v>
      </c>
      <c r="I244" s="15" t="str">
        <f>IFERROR(INDEX('SSA6'!E:E,MATCH(Total!B244,'SSA6'!B:B,0)),"-")</f>
        <v>-</v>
      </c>
      <c r="J244" s="15" t="str">
        <f>IFERROR(INDEX('SSA7'!E:E,MATCH(Total!B244,'SSA7'!B:B,0)),"-")</f>
        <v>-</v>
      </c>
    </row>
    <row r="245" spans="1:10" ht="22.2" customHeight="1" x14ac:dyDescent="0.55000000000000004">
      <c r="A245" s="15">
        <v>243</v>
      </c>
      <c r="B245" s="36" t="s">
        <v>573</v>
      </c>
      <c r="C245" s="37" t="s">
        <v>398</v>
      </c>
      <c r="D245" s="37" t="s">
        <v>577</v>
      </c>
      <c r="E245" s="25" t="str">
        <f>IFERROR(INDEX('SSA1'!E:E,MATCH(Total!B245,'SSA1'!B:B,0)),"-")</f>
        <v>-</v>
      </c>
      <c r="F245" s="25" t="str">
        <f>IFERROR(INDEX('SSA2'!E:E,MATCH(Total!B245,'SSA2'!B:B,0)),"-")</f>
        <v>-</v>
      </c>
      <c r="G245" s="15" t="str">
        <f>IFERROR(INDEX('SSA3'!E:E,MATCH(Total!B245,'SSA3'!B:B,0)),"-")</f>
        <v>-</v>
      </c>
      <c r="H245" s="15" t="str">
        <f>IFERROR(INDEX('SSA5'!E:E,MATCH(Total!B245,'SSA5'!B:B,0)),"-")</f>
        <v>-</v>
      </c>
      <c r="I245" s="15" t="str">
        <f>IFERROR(INDEX('SSA6'!E:E,MATCH(Total!B245,'SSA6'!B:B,0)),"-")</f>
        <v>-</v>
      </c>
      <c r="J245" s="15" t="str">
        <f>IFERROR(INDEX('SSA7'!E:E,MATCH(Total!B245,'SSA7'!B:B,0)),"-")</f>
        <v>-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66F1-FCF6-426B-8746-EC6FD37972DC}">
  <dimension ref="A1:J75"/>
  <sheetViews>
    <sheetView tabSelected="1" workbookViewId="0">
      <selection sqref="A1:F1"/>
    </sheetView>
  </sheetViews>
  <sheetFormatPr defaultRowHeight="18.600000000000001" x14ac:dyDescent="0.55000000000000004"/>
  <cols>
    <col min="1" max="1" width="4.44140625" style="17" customWidth="1"/>
    <col min="2" max="2" width="8.5546875" style="16" customWidth="1"/>
    <col min="3" max="3" width="58.5546875" style="16" customWidth="1"/>
    <col min="4" max="4" width="8.77734375" style="16" customWidth="1"/>
    <col min="5" max="5" width="5.44140625" style="17" bestFit="1" customWidth="1"/>
    <col min="6" max="6" width="15.33203125" style="18" customWidth="1"/>
    <col min="7" max="16384" width="8.88671875" style="16"/>
  </cols>
  <sheetData>
    <row r="1" spans="1:10" s="6" customFormat="1" ht="22.2" customHeight="1" x14ac:dyDescent="0.3">
      <c r="A1" s="27" t="s">
        <v>591</v>
      </c>
      <c r="B1" s="28"/>
      <c r="C1" s="28"/>
      <c r="D1" s="28"/>
      <c r="E1" s="28"/>
      <c r="F1" s="29"/>
    </row>
    <row r="2" spans="1:10" s="8" customFormat="1" ht="19.8" customHeight="1" x14ac:dyDescent="0.3">
      <c r="A2" s="1" t="s">
        <v>0</v>
      </c>
      <c r="B2" s="2" t="s">
        <v>1</v>
      </c>
      <c r="C2" s="1" t="s">
        <v>2</v>
      </c>
      <c r="D2" s="1" t="s">
        <v>3</v>
      </c>
      <c r="E2" s="19" t="s">
        <v>13</v>
      </c>
      <c r="F2" s="7" t="s">
        <v>12</v>
      </c>
    </row>
    <row r="3" spans="1:10" x14ac:dyDescent="0.55000000000000004">
      <c r="A3" s="3">
        <v>1</v>
      </c>
      <c r="B3" s="4" t="s">
        <v>17</v>
      </c>
      <c r="C3" s="5" t="s">
        <v>18</v>
      </c>
      <c r="D3" s="5" t="s">
        <v>19</v>
      </c>
      <c r="E3" s="3">
        <v>495</v>
      </c>
      <c r="F3" s="23">
        <v>1588000</v>
      </c>
    </row>
    <row r="4" spans="1:10" x14ac:dyDescent="0.55000000000000004">
      <c r="A4" s="3">
        <v>2</v>
      </c>
      <c r="B4" s="4" t="s">
        <v>20</v>
      </c>
      <c r="C4" s="5" t="s">
        <v>21</v>
      </c>
      <c r="D4" s="5" t="s">
        <v>22</v>
      </c>
      <c r="E4" s="3">
        <v>10</v>
      </c>
      <c r="F4" s="23">
        <v>1460000</v>
      </c>
    </row>
    <row r="5" spans="1:10" x14ac:dyDescent="0.55000000000000004">
      <c r="A5" s="3">
        <v>3</v>
      </c>
      <c r="B5" s="4" t="s">
        <v>23</v>
      </c>
      <c r="C5" s="5" t="s">
        <v>24</v>
      </c>
      <c r="D5" s="5" t="s">
        <v>25</v>
      </c>
      <c r="E5" s="3">
        <v>63</v>
      </c>
      <c r="F5" s="23">
        <v>1988000</v>
      </c>
    </row>
    <row r="6" spans="1:10" x14ac:dyDescent="0.55000000000000004">
      <c r="A6" s="3">
        <v>4</v>
      </c>
      <c r="B6" s="4" t="s">
        <v>26</v>
      </c>
      <c r="C6" s="5" t="s">
        <v>27</v>
      </c>
      <c r="D6" s="5" t="s">
        <v>19</v>
      </c>
      <c r="E6" s="3">
        <v>579</v>
      </c>
      <c r="F6" s="23">
        <v>8485000</v>
      </c>
    </row>
    <row r="7" spans="1:10" x14ac:dyDescent="0.55000000000000004">
      <c r="A7" s="3">
        <v>5</v>
      </c>
      <c r="B7" s="4" t="s">
        <v>28</v>
      </c>
      <c r="C7" s="5" t="s">
        <v>29</v>
      </c>
      <c r="D7" s="5" t="s">
        <v>25</v>
      </c>
      <c r="E7" s="3">
        <v>80</v>
      </c>
      <c r="F7" s="23">
        <v>2539999.9989999998</v>
      </c>
    </row>
    <row r="8" spans="1:10" x14ac:dyDescent="0.55000000000000004">
      <c r="A8" s="3">
        <v>6</v>
      </c>
      <c r="B8" s="4" t="s">
        <v>30</v>
      </c>
      <c r="C8" s="5" t="s">
        <v>31</v>
      </c>
      <c r="D8" s="5" t="s">
        <v>25</v>
      </c>
      <c r="E8" s="3">
        <v>37</v>
      </c>
      <c r="F8" s="23">
        <v>389000</v>
      </c>
    </row>
    <row r="9" spans="1:10" x14ac:dyDescent="0.55000000000000004">
      <c r="A9" s="3">
        <v>7</v>
      </c>
      <c r="B9" s="4" t="s">
        <v>32</v>
      </c>
      <c r="C9" s="5" t="s">
        <v>33</v>
      </c>
      <c r="D9" s="5" t="s">
        <v>25</v>
      </c>
      <c r="E9" s="3">
        <v>579</v>
      </c>
      <c r="F9" s="23">
        <v>6129000</v>
      </c>
    </row>
    <row r="10" spans="1:10" x14ac:dyDescent="0.55000000000000004">
      <c r="A10" s="3">
        <v>8</v>
      </c>
      <c r="B10" s="4" t="s">
        <v>34</v>
      </c>
      <c r="C10" s="5" t="s">
        <v>35</v>
      </c>
      <c r="D10" s="5" t="s">
        <v>25</v>
      </c>
      <c r="E10" s="3">
        <v>72</v>
      </c>
      <c r="F10" s="23">
        <v>1152000</v>
      </c>
    </row>
    <row r="11" spans="1:10" x14ac:dyDescent="0.55000000000000004">
      <c r="A11" s="3">
        <v>9</v>
      </c>
      <c r="B11" s="4" t="s">
        <v>36</v>
      </c>
      <c r="C11" s="5" t="s">
        <v>37</v>
      </c>
      <c r="D11" s="5" t="s">
        <v>25</v>
      </c>
      <c r="E11" s="3">
        <v>940</v>
      </c>
      <c r="F11" s="23">
        <v>9983000</v>
      </c>
    </row>
    <row r="12" spans="1:10" s="11" customFormat="1" x14ac:dyDescent="0.55000000000000004">
      <c r="A12" s="3">
        <v>10</v>
      </c>
      <c r="B12" s="4" t="s">
        <v>38</v>
      </c>
      <c r="C12" s="5" t="s">
        <v>39</v>
      </c>
      <c r="D12" s="5" t="s">
        <v>19</v>
      </c>
      <c r="E12" s="3">
        <v>164</v>
      </c>
      <c r="F12" s="23">
        <v>2296000</v>
      </c>
    </row>
    <row r="13" spans="1:10" s="11" customFormat="1" x14ac:dyDescent="0.55000000000000004">
      <c r="A13" s="3">
        <v>11</v>
      </c>
      <c r="B13" s="4" t="s">
        <v>40</v>
      </c>
      <c r="C13" s="5" t="s">
        <v>41</v>
      </c>
      <c r="D13" s="5" t="s">
        <v>19</v>
      </c>
      <c r="E13" s="3">
        <v>1721</v>
      </c>
      <c r="F13" s="23">
        <v>6285000</v>
      </c>
      <c r="J13" s="14"/>
    </row>
    <row r="14" spans="1:10" s="11" customFormat="1" ht="19.8" customHeight="1" x14ac:dyDescent="0.55000000000000004">
      <c r="A14" s="3">
        <v>12</v>
      </c>
      <c r="B14" s="4" t="s">
        <v>42</v>
      </c>
      <c r="C14" s="5" t="s">
        <v>43</v>
      </c>
      <c r="D14" s="5" t="s">
        <v>25</v>
      </c>
      <c r="E14" s="3">
        <v>17</v>
      </c>
      <c r="F14" s="23">
        <v>167000</v>
      </c>
    </row>
    <row r="15" spans="1:10" s="11" customFormat="1" x14ac:dyDescent="0.55000000000000004">
      <c r="A15" s="3">
        <v>13</v>
      </c>
      <c r="B15" s="4" t="s">
        <v>44</v>
      </c>
      <c r="C15" s="5" t="s">
        <v>45</v>
      </c>
      <c r="D15" s="5" t="s">
        <v>4</v>
      </c>
      <c r="E15" s="3">
        <v>209</v>
      </c>
      <c r="F15" s="23">
        <v>5578000</v>
      </c>
    </row>
    <row r="16" spans="1:10" x14ac:dyDescent="0.55000000000000004">
      <c r="A16" s="3">
        <v>14</v>
      </c>
      <c r="B16" s="4" t="s">
        <v>46</v>
      </c>
      <c r="C16" s="5" t="s">
        <v>47</v>
      </c>
      <c r="D16" s="5" t="s">
        <v>4</v>
      </c>
      <c r="E16" s="3">
        <v>57</v>
      </c>
      <c r="F16" s="23">
        <v>11514000</v>
      </c>
    </row>
    <row r="17" spans="1:6" x14ac:dyDescent="0.55000000000000004">
      <c r="A17" s="3">
        <v>15</v>
      </c>
      <c r="B17" s="4" t="s">
        <v>48</v>
      </c>
      <c r="C17" s="5" t="s">
        <v>49</v>
      </c>
      <c r="D17" s="5" t="s">
        <v>19</v>
      </c>
      <c r="E17" s="3">
        <v>490</v>
      </c>
      <c r="F17" s="23">
        <v>8950000</v>
      </c>
    </row>
    <row r="18" spans="1:6" x14ac:dyDescent="0.55000000000000004">
      <c r="A18" s="3">
        <v>16</v>
      </c>
      <c r="B18" s="4" t="s">
        <v>50</v>
      </c>
      <c r="C18" s="5" t="s">
        <v>51</v>
      </c>
      <c r="D18" s="5" t="s">
        <v>19</v>
      </c>
      <c r="E18" s="3">
        <v>180</v>
      </c>
      <c r="F18" s="23">
        <v>2070000</v>
      </c>
    </row>
    <row r="19" spans="1:6" x14ac:dyDescent="0.55000000000000004">
      <c r="A19" s="3">
        <v>17</v>
      </c>
      <c r="B19" s="4" t="s">
        <v>52</v>
      </c>
      <c r="C19" s="5" t="s">
        <v>53</v>
      </c>
      <c r="D19" s="5" t="s">
        <v>19</v>
      </c>
      <c r="E19" s="3">
        <v>554</v>
      </c>
      <c r="F19" s="23">
        <v>3183000</v>
      </c>
    </row>
    <row r="20" spans="1:6" x14ac:dyDescent="0.55000000000000004">
      <c r="A20" s="3">
        <v>18</v>
      </c>
      <c r="B20" s="4" t="s">
        <v>54</v>
      </c>
      <c r="C20" s="5" t="s">
        <v>55</v>
      </c>
      <c r="D20" s="5" t="s">
        <v>19</v>
      </c>
      <c r="E20" s="3">
        <v>1853</v>
      </c>
      <c r="F20" s="23">
        <v>12723000</v>
      </c>
    </row>
    <row r="21" spans="1:6" x14ac:dyDescent="0.55000000000000004">
      <c r="A21" s="3">
        <v>19</v>
      </c>
      <c r="B21" s="4" t="s">
        <v>56</v>
      </c>
      <c r="C21" s="5" t="s">
        <v>57</v>
      </c>
      <c r="D21" s="5" t="s">
        <v>19</v>
      </c>
      <c r="E21" s="3">
        <v>770</v>
      </c>
      <c r="F21" s="23">
        <v>9942000</v>
      </c>
    </row>
    <row r="22" spans="1:6" x14ac:dyDescent="0.55000000000000004">
      <c r="A22" s="3">
        <v>20</v>
      </c>
      <c r="B22" s="4" t="s">
        <v>58</v>
      </c>
      <c r="C22" s="5" t="s">
        <v>59</v>
      </c>
      <c r="D22" s="5" t="s">
        <v>25</v>
      </c>
      <c r="E22" s="3">
        <v>69</v>
      </c>
      <c r="F22" s="23">
        <v>649999.99800000002</v>
      </c>
    </row>
    <row r="23" spans="1:6" x14ac:dyDescent="0.55000000000000004">
      <c r="A23" s="3">
        <v>21</v>
      </c>
      <c r="B23" s="4" t="s">
        <v>60</v>
      </c>
      <c r="C23" s="5" t="s">
        <v>61</v>
      </c>
      <c r="D23" s="5" t="s">
        <v>19</v>
      </c>
      <c r="E23" s="3">
        <v>1112</v>
      </c>
      <c r="F23" s="23">
        <v>13244000</v>
      </c>
    </row>
    <row r="24" spans="1:6" x14ac:dyDescent="0.55000000000000004">
      <c r="A24" s="3">
        <v>22</v>
      </c>
      <c r="B24" s="4" t="s">
        <v>62</v>
      </c>
      <c r="C24" s="5" t="s">
        <v>63</v>
      </c>
      <c r="D24" s="5" t="s">
        <v>25</v>
      </c>
      <c r="E24" s="3">
        <v>295</v>
      </c>
      <c r="F24" s="23">
        <v>3107000</v>
      </c>
    </row>
    <row r="25" spans="1:6" x14ac:dyDescent="0.55000000000000004">
      <c r="A25" s="3">
        <v>23</v>
      </c>
      <c r="B25" s="4" t="s">
        <v>64</v>
      </c>
      <c r="C25" s="5" t="s">
        <v>65</v>
      </c>
      <c r="D25" s="5" t="s">
        <v>66</v>
      </c>
      <c r="E25" s="3">
        <v>3836</v>
      </c>
      <c r="F25" s="23">
        <v>22206000</v>
      </c>
    </row>
    <row r="26" spans="1:6" x14ac:dyDescent="0.55000000000000004">
      <c r="A26" s="3">
        <v>24</v>
      </c>
      <c r="B26" s="4" t="s">
        <v>67</v>
      </c>
      <c r="C26" s="5" t="s">
        <v>68</v>
      </c>
      <c r="D26" s="5" t="s">
        <v>19</v>
      </c>
      <c r="E26" s="3">
        <v>3764</v>
      </c>
      <c r="F26" s="23">
        <v>20075750</v>
      </c>
    </row>
    <row r="27" spans="1:6" x14ac:dyDescent="0.55000000000000004">
      <c r="A27" s="3">
        <v>25</v>
      </c>
      <c r="B27" s="4" t="s">
        <v>69</v>
      </c>
      <c r="C27" s="5" t="s">
        <v>70</v>
      </c>
      <c r="D27" s="5" t="s">
        <v>25</v>
      </c>
      <c r="E27" s="3">
        <v>52</v>
      </c>
      <c r="F27" s="23">
        <v>548000</v>
      </c>
    </row>
    <row r="28" spans="1:6" x14ac:dyDescent="0.55000000000000004">
      <c r="A28" s="3">
        <v>26</v>
      </c>
      <c r="B28" s="4" t="s">
        <v>71</v>
      </c>
      <c r="C28" s="5" t="s">
        <v>72</v>
      </c>
      <c r="D28" s="5" t="s">
        <v>25</v>
      </c>
      <c r="E28" s="3">
        <v>100</v>
      </c>
      <c r="F28" s="23">
        <v>2000000</v>
      </c>
    </row>
    <row r="29" spans="1:6" x14ac:dyDescent="0.55000000000000004">
      <c r="A29" s="3">
        <v>27</v>
      </c>
      <c r="B29" s="4" t="s">
        <v>73</v>
      </c>
      <c r="C29" s="5" t="s">
        <v>74</v>
      </c>
      <c r="D29" s="5" t="s">
        <v>19</v>
      </c>
      <c r="E29" s="3">
        <v>976</v>
      </c>
      <c r="F29" s="23">
        <v>2727000</v>
      </c>
    </row>
    <row r="30" spans="1:6" x14ac:dyDescent="0.55000000000000004">
      <c r="A30" s="3">
        <v>28</v>
      </c>
      <c r="B30" s="4" t="s">
        <v>75</v>
      </c>
      <c r="C30" s="5" t="s">
        <v>76</v>
      </c>
      <c r="D30" s="5" t="s">
        <v>4</v>
      </c>
      <c r="E30" s="3">
        <v>111</v>
      </c>
      <c r="F30" s="23">
        <v>2652000</v>
      </c>
    </row>
    <row r="31" spans="1:6" x14ac:dyDescent="0.55000000000000004">
      <c r="A31" s="3">
        <v>29</v>
      </c>
      <c r="B31" s="4" t="s">
        <v>77</v>
      </c>
      <c r="C31" s="5" t="s">
        <v>78</v>
      </c>
      <c r="D31" s="5" t="s">
        <v>25</v>
      </c>
      <c r="E31" s="3">
        <v>33</v>
      </c>
      <c r="F31" s="23">
        <v>357000</v>
      </c>
    </row>
    <row r="32" spans="1:6" x14ac:dyDescent="0.55000000000000004">
      <c r="A32" s="3">
        <v>30</v>
      </c>
      <c r="B32" s="4" t="s">
        <v>79</v>
      </c>
      <c r="C32" s="5" t="s">
        <v>80</v>
      </c>
      <c r="D32" s="5" t="s">
        <v>4</v>
      </c>
      <c r="E32" s="3">
        <v>23</v>
      </c>
      <c r="F32" s="23">
        <v>4646000</v>
      </c>
    </row>
    <row r="33" spans="1:6" x14ac:dyDescent="0.55000000000000004">
      <c r="A33" s="3">
        <v>31</v>
      </c>
      <c r="B33" s="4" t="s">
        <v>81</v>
      </c>
      <c r="C33" s="5" t="s">
        <v>82</v>
      </c>
      <c r="D33" s="5" t="s">
        <v>25</v>
      </c>
      <c r="E33" s="3">
        <v>133</v>
      </c>
      <c r="F33" s="23">
        <v>2384000.0003999998</v>
      </c>
    </row>
    <row r="34" spans="1:6" x14ac:dyDescent="0.55000000000000004">
      <c r="A34" s="3">
        <v>32</v>
      </c>
      <c r="B34" s="4" t="s">
        <v>83</v>
      </c>
      <c r="C34" s="5" t="s">
        <v>84</v>
      </c>
      <c r="D34" s="5" t="s">
        <v>25</v>
      </c>
      <c r="E34" s="3">
        <v>85</v>
      </c>
      <c r="F34" s="23">
        <v>3315000</v>
      </c>
    </row>
    <row r="35" spans="1:6" x14ac:dyDescent="0.55000000000000004">
      <c r="A35" s="3">
        <v>33</v>
      </c>
      <c r="B35" s="4" t="s">
        <v>85</v>
      </c>
      <c r="C35" s="5" t="s">
        <v>86</v>
      </c>
      <c r="D35" s="5" t="s">
        <v>25</v>
      </c>
      <c r="E35" s="3">
        <v>19</v>
      </c>
      <c r="F35" s="23">
        <v>475000</v>
      </c>
    </row>
    <row r="36" spans="1:6" x14ac:dyDescent="0.55000000000000004">
      <c r="A36" s="3">
        <v>34</v>
      </c>
      <c r="B36" s="4" t="s">
        <v>87</v>
      </c>
      <c r="C36" s="5" t="s">
        <v>88</v>
      </c>
      <c r="D36" s="5" t="s">
        <v>25</v>
      </c>
      <c r="E36" s="3">
        <v>351</v>
      </c>
      <c r="F36" s="23">
        <v>6582999.9941999996</v>
      </c>
    </row>
    <row r="37" spans="1:6" x14ac:dyDescent="0.55000000000000004">
      <c r="A37" s="3">
        <v>35</v>
      </c>
      <c r="B37" s="4" t="s">
        <v>89</v>
      </c>
      <c r="C37" s="5" t="s">
        <v>90</v>
      </c>
      <c r="D37" s="5" t="s">
        <v>19</v>
      </c>
      <c r="E37" s="3">
        <v>336</v>
      </c>
      <c r="F37" s="23">
        <v>7056000</v>
      </c>
    </row>
    <row r="38" spans="1:6" x14ac:dyDescent="0.55000000000000004">
      <c r="A38" s="3">
        <v>36</v>
      </c>
      <c r="B38" s="4" t="s">
        <v>91</v>
      </c>
      <c r="C38" s="5" t="s">
        <v>92</v>
      </c>
      <c r="D38" s="5" t="s">
        <v>25</v>
      </c>
      <c r="E38" s="3">
        <v>16</v>
      </c>
      <c r="F38" s="23">
        <v>318999.99979999999</v>
      </c>
    </row>
    <row r="39" spans="1:6" x14ac:dyDescent="0.55000000000000004">
      <c r="A39" s="3">
        <v>37</v>
      </c>
      <c r="B39" s="4" t="s">
        <v>93</v>
      </c>
      <c r="C39" s="5" t="s">
        <v>94</v>
      </c>
      <c r="D39" s="5" t="s">
        <v>25</v>
      </c>
      <c r="E39" s="3">
        <v>11</v>
      </c>
      <c r="F39" s="23">
        <v>231000</v>
      </c>
    </row>
    <row r="40" spans="1:6" x14ac:dyDescent="0.55000000000000004">
      <c r="A40" s="3">
        <v>38</v>
      </c>
      <c r="B40" s="4" t="s">
        <v>95</v>
      </c>
      <c r="C40" s="5" t="s">
        <v>96</v>
      </c>
      <c r="D40" s="5" t="s">
        <v>25</v>
      </c>
      <c r="E40" s="3">
        <v>230</v>
      </c>
      <c r="F40" s="23">
        <v>5460000.0060000001</v>
      </c>
    </row>
    <row r="41" spans="1:6" x14ac:dyDescent="0.55000000000000004">
      <c r="A41" s="3">
        <v>39</v>
      </c>
      <c r="B41" s="4" t="s">
        <v>97</v>
      </c>
      <c r="C41" s="5" t="s">
        <v>98</v>
      </c>
      <c r="D41" s="5" t="s">
        <v>25</v>
      </c>
      <c r="E41" s="3">
        <v>82</v>
      </c>
      <c r="F41" s="23">
        <v>2202999.9996000002</v>
      </c>
    </row>
    <row r="42" spans="1:6" x14ac:dyDescent="0.55000000000000004">
      <c r="A42" s="3">
        <v>40</v>
      </c>
      <c r="B42" s="4" t="s">
        <v>99</v>
      </c>
      <c r="C42" s="5" t="s">
        <v>100</v>
      </c>
      <c r="D42" s="5" t="s">
        <v>25</v>
      </c>
      <c r="E42" s="3">
        <v>19</v>
      </c>
      <c r="F42" s="23">
        <v>703000</v>
      </c>
    </row>
    <row r="43" spans="1:6" x14ac:dyDescent="0.55000000000000004">
      <c r="A43" s="3">
        <v>41</v>
      </c>
      <c r="B43" s="4" t="s">
        <v>101</v>
      </c>
      <c r="C43" s="5" t="s">
        <v>102</v>
      </c>
      <c r="D43" s="5" t="s">
        <v>25</v>
      </c>
      <c r="E43" s="3">
        <v>29</v>
      </c>
      <c r="F43" s="23">
        <v>1334000</v>
      </c>
    </row>
    <row r="44" spans="1:6" x14ac:dyDescent="0.55000000000000004">
      <c r="A44" s="3">
        <v>42</v>
      </c>
      <c r="B44" s="4" t="s">
        <v>103</v>
      </c>
      <c r="C44" s="5" t="s">
        <v>104</v>
      </c>
      <c r="D44" s="5" t="s">
        <v>19</v>
      </c>
      <c r="E44" s="3">
        <v>1039</v>
      </c>
      <c r="F44" s="23">
        <v>14464000</v>
      </c>
    </row>
    <row r="45" spans="1:6" x14ac:dyDescent="0.55000000000000004">
      <c r="A45" s="3">
        <v>43</v>
      </c>
      <c r="B45" s="4" t="s">
        <v>105</v>
      </c>
      <c r="C45" s="5" t="s">
        <v>106</v>
      </c>
      <c r="D45" s="5" t="s">
        <v>19</v>
      </c>
      <c r="E45" s="3">
        <v>1711</v>
      </c>
      <c r="F45" s="23">
        <v>18625000</v>
      </c>
    </row>
    <row r="46" spans="1:6" x14ac:dyDescent="0.55000000000000004">
      <c r="A46" s="3">
        <v>44</v>
      </c>
      <c r="B46" s="4" t="s">
        <v>107</v>
      </c>
      <c r="C46" s="5" t="s">
        <v>108</v>
      </c>
      <c r="D46" s="5" t="s">
        <v>25</v>
      </c>
      <c r="E46" s="3">
        <v>34</v>
      </c>
      <c r="F46" s="23">
        <v>1801000</v>
      </c>
    </row>
    <row r="47" spans="1:6" x14ac:dyDescent="0.55000000000000004">
      <c r="A47" s="3">
        <v>45</v>
      </c>
      <c r="B47" s="4" t="s">
        <v>109</v>
      </c>
      <c r="C47" s="5" t="s">
        <v>110</v>
      </c>
      <c r="D47" s="5" t="s">
        <v>111</v>
      </c>
      <c r="E47" s="3">
        <v>90</v>
      </c>
      <c r="F47" s="23">
        <v>4994999.9994000001</v>
      </c>
    </row>
    <row r="48" spans="1:6" x14ac:dyDescent="0.55000000000000004">
      <c r="A48" s="3">
        <v>46</v>
      </c>
      <c r="B48" s="4" t="s">
        <v>112</v>
      </c>
      <c r="C48" s="5" t="s">
        <v>113</v>
      </c>
      <c r="D48" s="5" t="s">
        <v>25</v>
      </c>
      <c r="E48" s="3">
        <v>32</v>
      </c>
      <c r="F48" s="23">
        <v>726221.27679999999</v>
      </c>
    </row>
    <row r="49" spans="1:6" x14ac:dyDescent="0.55000000000000004">
      <c r="A49" s="3">
        <v>47</v>
      </c>
      <c r="B49" s="4" t="s">
        <v>114</v>
      </c>
      <c r="C49" s="5" t="s">
        <v>115</v>
      </c>
      <c r="D49" s="5" t="s">
        <v>25</v>
      </c>
      <c r="E49" s="3">
        <v>57</v>
      </c>
      <c r="F49" s="23">
        <v>2555000</v>
      </c>
    </row>
    <row r="50" spans="1:6" x14ac:dyDescent="0.55000000000000004">
      <c r="A50" s="3">
        <v>48</v>
      </c>
      <c r="B50" s="4" t="s">
        <v>116</v>
      </c>
      <c r="C50" s="5" t="s">
        <v>117</v>
      </c>
      <c r="D50" s="5" t="s">
        <v>111</v>
      </c>
      <c r="E50" s="3">
        <v>20</v>
      </c>
      <c r="F50" s="23">
        <v>1400000</v>
      </c>
    </row>
    <row r="51" spans="1:6" x14ac:dyDescent="0.55000000000000004">
      <c r="A51" s="3">
        <v>49</v>
      </c>
      <c r="B51" s="4" t="s">
        <v>118</v>
      </c>
      <c r="C51" s="5" t="s">
        <v>119</v>
      </c>
      <c r="D51" s="5" t="s">
        <v>25</v>
      </c>
      <c r="E51" s="3">
        <v>55</v>
      </c>
      <c r="F51" s="23">
        <v>1925000</v>
      </c>
    </row>
    <row r="52" spans="1:6" x14ac:dyDescent="0.55000000000000004">
      <c r="A52" s="3">
        <v>50</v>
      </c>
      <c r="B52" s="4" t="s">
        <v>120</v>
      </c>
      <c r="C52" s="5" t="s">
        <v>121</v>
      </c>
      <c r="D52" s="5" t="s">
        <v>19</v>
      </c>
      <c r="E52" s="3">
        <v>643</v>
      </c>
      <c r="F52" s="23">
        <v>12596000</v>
      </c>
    </row>
    <row r="53" spans="1:6" x14ac:dyDescent="0.55000000000000004">
      <c r="A53" s="3">
        <v>51</v>
      </c>
      <c r="B53" s="4" t="s">
        <v>122</v>
      </c>
      <c r="C53" s="5" t="s">
        <v>123</v>
      </c>
      <c r="D53" s="5" t="s">
        <v>22</v>
      </c>
      <c r="E53" s="3">
        <v>3</v>
      </c>
      <c r="F53" s="23">
        <v>1836000</v>
      </c>
    </row>
    <row r="54" spans="1:6" x14ac:dyDescent="0.55000000000000004">
      <c r="A54" s="3">
        <v>52</v>
      </c>
      <c r="B54" s="4" t="s">
        <v>124</v>
      </c>
      <c r="C54" s="5" t="s">
        <v>125</v>
      </c>
      <c r="D54" s="5" t="s">
        <v>111</v>
      </c>
      <c r="E54" s="3">
        <v>25</v>
      </c>
      <c r="F54" s="23">
        <v>1450000</v>
      </c>
    </row>
    <row r="55" spans="1:6" x14ac:dyDescent="0.55000000000000004">
      <c r="A55" s="3">
        <v>53</v>
      </c>
      <c r="B55" s="4" t="s">
        <v>126</v>
      </c>
      <c r="C55" s="5" t="s">
        <v>127</v>
      </c>
      <c r="D55" s="5" t="s">
        <v>19</v>
      </c>
      <c r="E55" s="3">
        <v>276</v>
      </c>
      <c r="F55" s="23">
        <v>3128000</v>
      </c>
    </row>
    <row r="56" spans="1:6" x14ac:dyDescent="0.55000000000000004">
      <c r="A56" s="3">
        <v>54</v>
      </c>
      <c r="B56" s="4" t="s">
        <v>128</v>
      </c>
      <c r="C56" s="5" t="s">
        <v>129</v>
      </c>
      <c r="D56" s="5" t="s">
        <v>4</v>
      </c>
      <c r="E56" s="3">
        <v>78</v>
      </c>
      <c r="F56" s="23">
        <v>13026000</v>
      </c>
    </row>
    <row r="57" spans="1:6" x14ac:dyDescent="0.55000000000000004">
      <c r="A57" s="3">
        <v>55</v>
      </c>
      <c r="B57" s="4" t="s">
        <v>130</v>
      </c>
      <c r="C57" s="5" t="s">
        <v>131</v>
      </c>
      <c r="D57" s="5" t="s">
        <v>5</v>
      </c>
      <c r="E57" s="3">
        <v>205</v>
      </c>
      <c r="F57" s="23">
        <v>2241999.9997999999</v>
      </c>
    </row>
    <row r="58" spans="1:6" x14ac:dyDescent="0.55000000000000004">
      <c r="A58" s="3">
        <v>56</v>
      </c>
      <c r="B58" s="4" t="s">
        <v>132</v>
      </c>
      <c r="C58" s="5" t="s">
        <v>133</v>
      </c>
      <c r="D58" s="5" t="s">
        <v>4</v>
      </c>
      <c r="E58" s="3">
        <v>10</v>
      </c>
      <c r="F58" s="23">
        <v>2090000</v>
      </c>
    </row>
    <row r="59" spans="1:6" x14ac:dyDescent="0.55000000000000004">
      <c r="A59" s="3">
        <v>57</v>
      </c>
      <c r="B59" s="4" t="s">
        <v>134</v>
      </c>
      <c r="C59" s="5" t="s">
        <v>135</v>
      </c>
      <c r="D59" s="5" t="s">
        <v>4</v>
      </c>
      <c r="E59" s="3">
        <v>10</v>
      </c>
      <c r="F59" s="23">
        <v>5700000</v>
      </c>
    </row>
    <row r="60" spans="1:6" x14ac:dyDescent="0.55000000000000004">
      <c r="A60" s="3">
        <v>58</v>
      </c>
      <c r="B60" s="4" t="s">
        <v>136</v>
      </c>
      <c r="C60" s="5" t="s">
        <v>137</v>
      </c>
      <c r="D60" s="5" t="s">
        <v>66</v>
      </c>
      <c r="E60" s="3">
        <v>15</v>
      </c>
      <c r="F60" s="23">
        <v>480000</v>
      </c>
    </row>
    <row r="61" spans="1:6" x14ac:dyDescent="0.55000000000000004">
      <c r="A61" s="3">
        <v>59</v>
      </c>
      <c r="B61" s="4" t="s">
        <v>138</v>
      </c>
      <c r="C61" s="5" t="s">
        <v>139</v>
      </c>
      <c r="D61" s="5" t="s">
        <v>19</v>
      </c>
      <c r="E61" s="3">
        <v>24</v>
      </c>
      <c r="F61" s="23">
        <v>594000</v>
      </c>
    </row>
    <row r="62" spans="1:6" x14ac:dyDescent="0.55000000000000004">
      <c r="A62" s="3">
        <v>60</v>
      </c>
      <c r="B62" s="4" t="s">
        <v>140</v>
      </c>
      <c r="C62" s="5" t="s">
        <v>141</v>
      </c>
      <c r="D62" s="5" t="s">
        <v>111</v>
      </c>
      <c r="E62" s="3">
        <v>29</v>
      </c>
      <c r="F62" s="23">
        <v>2929000</v>
      </c>
    </row>
    <row r="63" spans="1:6" x14ac:dyDescent="0.55000000000000004">
      <c r="A63" s="3">
        <v>61</v>
      </c>
      <c r="B63" s="4" t="s">
        <v>142</v>
      </c>
      <c r="C63" s="5" t="s">
        <v>143</v>
      </c>
      <c r="D63" s="5" t="s">
        <v>19</v>
      </c>
      <c r="E63" s="3">
        <v>3</v>
      </c>
      <c r="F63" s="23">
        <v>348000</v>
      </c>
    </row>
    <row r="64" spans="1:6" x14ac:dyDescent="0.55000000000000004">
      <c r="A64" s="3">
        <v>62</v>
      </c>
      <c r="B64" s="4" t="s">
        <v>144</v>
      </c>
      <c r="C64" s="5" t="s">
        <v>145</v>
      </c>
      <c r="D64" s="5" t="s">
        <v>25</v>
      </c>
      <c r="E64" s="3">
        <v>60</v>
      </c>
      <c r="F64" s="23">
        <v>7140000</v>
      </c>
    </row>
    <row r="65" spans="1:6" x14ac:dyDescent="0.55000000000000004">
      <c r="A65" s="3">
        <v>63</v>
      </c>
      <c r="B65" s="4" t="s">
        <v>146</v>
      </c>
      <c r="C65" s="5" t="s">
        <v>147</v>
      </c>
      <c r="D65" s="5" t="s">
        <v>19</v>
      </c>
      <c r="E65" s="3">
        <v>73</v>
      </c>
      <c r="F65" s="23">
        <v>4225000</v>
      </c>
    </row>
    <row r="66" spans="1:6" x14ac:dyDescent="0.55000000000000004">
      <c r="A66" s="3">
        <v>64</v>
      </c>
      <c r="B66" s="4" t="s">
        <v>148</v>
      </c>
      <c r="C66" s="5" t="s">
        <v>149</v>
      </c>
      <c r="D66" s="5" t="s">
        <v>4</v>
      </c>
      <c r="E66" s="3">
        <v>15</v>
      </c>
      <c r="F66" s="23">
        <v>480000</v>
      </c>
    </row>
    <row r="67" spans="1:6" x14ac:dyDescent="0.55000000000000004">
      <c r="A67" s="3">
        <v>65</v>
      </c>
      <c r="B67" s="4" t="s">
        <v>150</v>
      </c>
      <c r="C67" s="5" t="s">
        <v>151</v>
      </c>
      <c r="D67" s="5" t="s">
        <v>25</v>
      </c>
      <c r="E67" s="3">
        <v>159</v>
      </c>
      <c r="F67" s="23">
        <v>1889999.9964000001</v>
      </c>
    </row>
    <row r="68" spans="1:6" x14ac:dyDescent="0.55000000000000004">
      <c r="A68" s="3">
        <v>66</v>
      </c>
      <c r="B68" s="4" t="s">
        <v>152</v>
      </c>
      <c r="C68" s="5" t="s">
        <v>153</v>
      </c>
      <c r="D68" s="5" t="s">
        <v>111</v>
      </c>
      <c r="E68" s="3">
        <v>15</v>
      </c>
      <c r="F68" s="23">
        <v>15</v>
      </c>
    </row>
    <row r="69" spans="1:6" x14ac:dyDescent="0.55000000000000004">
      <c r="A69" s="3">
        <v>67</v>
      </c>
      <c r="B69" s="4" t="s">
        <v>154</v>
      </c>
      <c r="C69" s="5" t="s">
        <v>155</v>
      </c>
      <c r="D69" s="5" t="s">
        <v>25</v>
      </c>
      <c r="E69" s="3">
        <v>10</v>
      </c>
      <c r="F69" s="23">
        <v>10</v>
      </c>
    </row>
    <row r="70" spans="1:6" x14ac:dyDescent="0.55000000000000004">
      <c r="A70" s="3">
        <v>68</v>
      </c>
      <c r="B70" s="4" t="s">
        <v>156</v>
      </c>
      <c r="C70" s="5" t="s">
        <v>157</v>
      </c>
      <c r="D70" s="5" t="s">
        <v>19</v>
      </c>
      <c r="E70" s="3">
        <v>4</v>
      </c>
      <c r="F70" s="23">
        <v>92000</v>
      </c>
    </row>
    <row r="71" spans="1:6" s="11" customFormat="1" ht="19.8" customHeight="1" x14ac:dyDescent="0.55000000000000004">
      <c r="A71" s="32" t="s">
        <v>14</v>
      </c>
      <c r="B71" s="33"/>
      <c r="C71" s="33"/>
      <c r="D71" s="33"/>
      <c r="E71" s="34"/>
      <c r="F71" s="10">
        <f>SUM(F3:F70)</f>
        <v>305434996.2694</v>
      </c>
    </row>
    <row r="72" spans="1:6" s="11" customFormat="1" x14ac:dyDescent="0.55000000000000004">
      <c r="A72" s="22"/>
      <c r="B72" s="12"/>
      <c r="C72" s="12"/>
      <c r="D72" s="12"/>
      <c r="E72" s="12"/>
      <c r="F72" s="13"/>
    </row>
    <row r="73" spans="1:6" x14ac:dyDescent="0.55000000000000004">
      <c r="A73" s="14"/>
      <c r="B73" s="14"/>
      <c r="C73" s="11"/>
      <c r="D73" s="30" t="s">
        <v>15</v>
      </c>
      <c r="E73" s="30"/>
      <c r="F73" s="30"/>
    </row>
    <row r="74" spans="1:6" x14ac:dyDescent="0.55000000000000004">
      <c r="A74" s="14"/>
      <c r="B74" s="11"/>
      <c r="C74" s="11"/>
      <c r="D74" s="31">
        <v>46266</v>
      </c>
      <c r="E74" s="31"/>
      <c r="F74" s="31"/>
    </row>
    <row r="75" spans="1:6" x14ac:dyDescent="0.55000000000000004">
      <c r="D75" s="26" t="s">
        <v>16</v>
      </c>
      <c r="E75" s="26"/>
      <c r="F75" s="26"/>
    </row>
  </sheetData>
  <mergeCells count="5">
    <mergeCell ref="A71:E71"/>
    <mergeCell ref="D73:F73"/>
    <mergeCell ref="D74:F74"/>
    <mergeCell ref="D75:F75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DF0C-6D40-48D5-9CF7-A2A9977E8A9A}">
  <dimension ref="A1:F58"/>
  <sheetViews>
    <sheetView workbookViewId="0">
      <selection sqref="A1:F1"/>
    </sheetView>
  </sheetViews>
  <sheetFormatPr defaultRowHeight="18.600000000000001" x14ac:dyDescent="0.55000000000000004"/>
  <cols>
    <col min="1" max="1" width="5.77734375" style="17" bestFit="1" customWidth="1"/>
    <col min="2" max="2" width="9.6640625" style="16" customWidth="1"/>
    <col min="3" max="3" width="55" style="16" bestFit="1" customWidth="1"/>
    <col min="4" max="4" width="7.88671875" style="16" customWidth="1"/>
    <col min="5" max="5" width="6.6640625" style="17" bestFit="1" customWidth="1"/>
    <col min="6" max="6" width="13.77734375" style="18" bestFit="1" customWidth="1"/>
    <col min="7" max="16384" width="8.88671875" style="16"/>
  </cols>
  <sheetData>
    <row r="1" spans="1:6" s="6" customFormat="1" ht="30.75" customHeight="1" x14ac:dyDescent="0.3">
      <c r="A1" s="27" t="s">
        <v>592</v>
      </c>
      <c r="B1" s="28"/>
      <c r="C1" s="28"/>
      <c r="D1" s="28"/>
      <c r="E1" s="28"/>
      <c r="F1" s="29"/>
    </row>
    <row r="2" spans="1:6" s="8" customFormat="1" x14ac:dyDescent="0.3">
      <c r="A2" s="1" t="s">
        <v>0</v>
      </c>
      <c r="B2" s="2" t="s">
        <v>1</v>
      </c>
      <c r="C2" s="1" t="s">
        <v>2</v>
      </c>
      <c r="D2" s="1" t="s">
        <v>3</v>
      </c>
      <c r="E2" s="7" t="s">
        <v>13</v>
      </c>
      <c r="F2" s="7" t="s">
        <v>12</v>
      </c>
    </row>
    <row r="3" spans="1:6" x14ac:dyDescent="0.55000000000000004">
      <c r="A3" s="3">
        <v>1</v>
      </c>
      <c r="B3" s="4" t="s">
        <v>17</v>
      </c>
      <c r="C3" s="5" t="s">
        <v>18</v>
      </c>
      <c r="D3" s="5" t="s">
        <v>19</v>
      </c>
      <c r="E3" s="3">
        <v>10</v>
      </c>
      <c r="F3" s="23">
        <v>40000</v>
      </c>
    </row>
    <row r="4" spans="1:6" s="11" customFormat="1" x14ac:dyDescent="0.55000000000000004">
      <c r="A4" s="3">
        <v>2</v>
      </c>
      <c r="B4" s="4" t="s">
        <v>23</v>
      </c>
      <c r="C4" s="5" t="s">
        <v>24</v>
      </c>
      <c r="D4" s="5" t="s">
        <v>25</v>
      </c>
      <c r="E4" s="3">
        <v>5</v>
      </c>
      <c r="F4" s="23">
        <v>160000</v>
      </c>
    </row>
    <row r="5" spans="1:6" s="11" customFormat="1" ht="19.8" customHeight="1" x14ac:dyDescent="0.55000000000000004">
      <c r="A5" s="3">
        <v>3</v>
      </c>
      <c r="B5" s="4" t="s">
        <v>26</v>
      </c>
      <c r="C5" s="5" t="s">
        <v>27</v>
      </c>
      <c r="D5" s="5" t="s">
        <v>19</v>
      </c>
      <c r="E5" s="3">
        <v>2</v>
      </c>
      <c r="F5" s="23">
        <v>30000</v>
      </c>
    </row>
    <row r="6" spans="1:6" s="11" customFormat="1" x14ac:dyDescent="0.55000000000000004">
      <c r="A6" s="3">
        <v>4</v>
      </c>
      <c r="B6" s="4" t="s">
        <v>28</v>
      </c>
      <c r="C6" s="5" t="s">
        <v>29</v>
      </c>
      <c r="D6" s="5" t="s">
        <v>25</v>
      </c>
      <c r="E6" s="3">
        <v>7</v>
      </c>
      <c r="F6" s="23">
        <v>219999.99979999999</v>
      </c>
    </row>
    <row r="7" spans="1:6" x14ac:dyDescent="0.55000000000000004">
      <c r="A7" s="3">
        <v>5</v>
      </c>
      <c r="B7" s="4" t="s">
        <v>32</v>
      </c>
      <c r="C7" s="5" t="s">
        <v>33</v>
      </c>
      <c r="D7" s="5" t="s">
        <v>25</v>
      </c>
      <c r="E7" s="3">
        <v>9</v>
      </c>
      <c r="F7" s="23">
        <v>99000</v>
      </c>
    </row>
    <row r="8" spans="1:6" x14ac:dyDescent="0.55000000000000004">
      <c r="A8" s="3">
        <v>6</v>
      </c>
      <c r="B8" s="4" t="s">
        <v>36</v>
      </c>
      <c r="C8" s="5" t="s">
        <v>37</v>
      </c>
      <c r="D8" s="5" t="s">
        <v>25</v>
      </c>
      <c r="E8" s="3">
        <v>59</v>
      </c>
      <c r="F8" s="23">
        <v>637000</v>
      </c>
    </row>
    <row r="9" spans="1:6" x14ac:dyDescent="0.55000000000000004">
      <c r="A9" s="3">
        <v>7</v>
      </c>
      <c r="B9" s="4" t="s">
        <v>38</v>
      </c>
      <c r="C9" s="5" t="s">
        <v>39</v>
      </c>
      <c r="D9" s="5" t="s">
        <v>19</v>
      </c>
      <c r="E9" s="3">
        <v>12</v>
      </c>
      <c r="F9" s="23">
        <v>168000</v>
      </c>
    </row>
    <row r="10" spans="1:6" x14ac:dyDescent="0.55000000000000004">
      <c r="A10" s="3">
        <v>8</v>
      </c>
      <c r="B10" s="4" t="s">
        <v>40</v>
      </c>
      <c r="C10" s="5" t="s">
        <v>41</v>
      </c>
      <c r="D10" s="5" t="s">
        <v>19</v>
      </c>
      <c r="E10" s="3">
        <v>9</v>
      </c>
      <c r="F10" s="23">
        <v>36000</v>
      </c>
    </row>
    <row r="11" spans="1:6" x14ac:dyDescent="0.55000000000000004">
      <c r="A11" s="3">
        <v>9</v>
      </c>
      <c r="B11" s="4" t="s">
        <v>42</v>
      </c>
      <c r="C11" s="5" t="s">
        <v>43</v>
      </c>
      <c r="D11" s="5" t="s">
        <v>25</v>
      </c>
      <c r="E11" s="3">
        <v>12</v>
      </c>
      <c r="F11" s="23">
        <v>117000</v>
      </c>
    </row>
    <row r="12" spans="1:6" x14ac:dyDescent="0.55000000000000004">
      <c r="A12" s="3">
        <v>10</v>
      </c>
      <c r="B12" s="4" t="s">
        <v>44</v>
      </c>
      <c r="C12" s="5" t="s">
        <v>45</v>
      </c>
      <c r="D12" s="5" t="s">
        <v>4</v>
      </c>
      <c r="E12" s="3">
        <v>9</v>
      </c>
      <c r="F12" s="23">
        <v>243000</v>
      </c>
    </row>
    <row r="13" spans="1:6" x14ac:dyDescent="0.55000000000000004">
      <c r="A13" s="3">
        <v>11</v>
      </c>
      <c r="B13" s="4" t="s">
        <v>46</v>
      </c>
      <c r="C13" s="5" t="s">
        <v>47</v>
      </c>
      <c r="D13" s="5" t="s">
        <v>4</v>
      </c>
      <c r="E13" s="3">
        <v>3</v>
      </c>
      <c r="F13" s="23">
        <v>606000</v>
      </c>
    </row>
    <row r="14" spans="1:6" x14ac:dyDescent="0.55000000000000004">
      <c r="A14" s="3">
        <v>12</v>
      </c>
      <c r="B14" s="4" t="s">
        <v>48</v>
      </c>
      <c r="C14" s="5" t="s">
        <v>49</v>
      </c>
      <c r="D14" s="5" t="s">
        <v>19</v>
      </c>
      <c r="E14" s="3">
        <v>15</v>
      </c>
      <c r="F14" s="23">
        <v>276000</v>
      </c>
    </row>
    <row r="15" spans="1:6" x14ac:dyDescent="0.55000000000000004">
      <c r="A15" s="3">
        <v>13</v>
      </c>
      <c r="B15" s="4" t="s">
        <v>50</v>
      </c>
      <c r="C15" s="5" t="s">
        <v>51</v>
      </c>
      <c r="D15" s="5" t="s">
        <v>19</v>
      </c>
      <c r="E15" s="3">
        <v>9</v>
      </c>
      <c r="F15" s="23">
        <v>108000</v>
      </c>
    </row>
    <row r="16" spans="1:6" x14ac:dyDescent="0.55000000000000004">
      <c r="A16" s="3">
        <v>14</v>
      </c>
      <c r="B16" s="4" t="s">
        <v>52</v>
      </c>
      <c r="C16" s="5" t="s">
        <v>53</v>
      </c>
      <c r="D16" s="5" t="s">
        <v>19</v>
      </c>
      <c r="E16" s="3">
        <v>28</v>
      </c>
      <c r="F16" s="23">
        <v>168000</v>
      </c>
    </row>
    <row r="17" spans="1:6" x14ac:dyDescent="0.55000000000000004">
      <c r="A17" s="3">
        <v>15</v>
      </c>
      <c r="B17" s="4" t="s">
        <v>54</v>
      </c>
      <c r="C17" s="5" t="s">
        <v>55</v>
      </c>
      <c r="D17" s="5" t="s">
        <v>19</v>
      </c>
      <c r="E17" s="3">
        <v>23</v>
      </c>
      <c r="F17" s="23">
        <v>160000</v>
      </c>
    </row>
    <row r="18" spans="1:6" x14ac:dyDescent="0.55000000000000004">
      <c r="A18" s="3">
        <v>16</v>
      </c>
      <c r="B18" s="4" t="s">
        <v>56</v>
      </c>
      <c r="C18" s="5" t="s">
        <v>57</v>
      </c>
      <c r="D18" s="5" t="s">
        <v>19</v>
      </c>
      <c r="E18" s="3">
        <v>43</v>
      </c>
      <c r="F18" s="23">
        <v>556000</v>
      </c>
    </row>
    <row r="19" spans="1:6" x14ac:dyDescent="0.55000000000000004">
      <c r="A19" s="3">
        <v>17</v>
      </c>
      <c r="B19" s="4" t="s">
        <v>58</v>
      </c>
      <c r="C19" s="5" t="s">
        <v>59</v>
      </c>
      <c r="D19" s="5" t="s">
        <v>25</v>
      </c>
      <c r="E19" s="3">
        <v>8</v>
      </c>
      <c r="F19" s="23">
        <v>80000</v>
      </c>
    </row>
    <row r="20" spans="1:6" x14ac:dyDescent="0.55000000000000004">
      <c r="A20" s="3">
        <v>18</v>
      </c>
      <c r="B20" s="4" t="s">
        <v>60</v>
      </c>
      <c r="C20" s="5" t="s">
        <v>61</v>
      </c>
      <c r="D20" s="5" t="s">
        <v>19</v>
      </c>
      <c r="E20" s="3">
        <v>41</v>
      </c>
      <c r="F20" s="23">
        <v>489000</v>
      </c>
    </row>
    <row r="21" spans="1:6" x14ac:dyDescent="0.55000000000000004">
      <c r="A21" s="3">
        <v>19</v>
      </c>
      <c r="B21" s="4" t="s">
        <v>62</v>
      </c>
      <c r="C21" s="5" t="s">
        <v>63</v>
      </c>
      <c r="D21" s="5" t="s">
        <v>25</v>
      </c>
      <c r="E21" s="3">
        <v>12</v>
      </c>
      <c r="F21" s="23">
        <v>126000</v>
      </c>
    </row>
    <row r="22" spans="1:6" x14ac:dyDescent="0.55000000000000004">
      <c r="A22" s="3">
        <v>20</v>
      </c>
      <c r="B22" s="4" t="s">
        <v>64</v>
      </c>
      <c r="C22" s="5" t="s">
        <v>65</v>
      </c>
      <c r="D22" s="5" t="s">
        <v>66</v>
      </c>
      <c r="E22" s="3">
        <v>236</v>
      </c>
      <c r="F22" s="23">
        <v>1398000</v>
      </c>
    </row>
    <row r="23" spans="1:6" x14ac:dyDescent="0.55000000000000004">
      <c r="A23" s="3">
        <v>21</v>
      </c>
      <c r="B23" s="4" t="s">
        <v>67</v>
      </c>
      <c r="C23" s="5" t="s">
        <v>68</v>
      </c>
      <c r="D23" s="5" t="s">
        <v>19</v>
      </c>
      <c r="E23" s="3">
        <v>263</v>
      </c>
      <c r="F23" s="23">
        <v>1407000</v>
      </c>
    </row>
    <row r="24" spans="1:6" x14ac:dyDescent="0.55000000000000004">
      <c r="A24" s="3">
        <v>22</v>
      </c>
      <c r="B24" s="4" t="s">
        <v>69</v>
      </c>
      <c r="C24" s="5" t="s">
        <v>70</v>
      </c>
      <c r="D24" s="5" t="s">
        <v>25</v>
      </c>
      <c r="E24" s="3">
        <v>1</v>
      </c>
      <c r="F24" s="23">
        <v>11000</v>
      </c>
    </row>
    <row r="25" spans="1:6" x14ac:dyDescent="0.55000000000000004">
      <c r="A25" s="3">
        <v>23</v>
      </c>
      <c r="B25" s="4" t="s">
        <v>71</v>
      </c>
      <c r="C25" s="5" t="s">
        <v>72</v>
      </c>
      <c r="D25" s="5" t="s">
        <v>25</v>
      </c>
      <c r="E25" s="3">
        <v>6</v>
      </c>
      <c r="F25" s="23">
        <v>120000</v>
      </c>
    </row>
    <row r="26" spans="1:6" x14ac:dyDescent="0.55000000000000004">
      <c r="A26" s="3">
        <v>24</v>
      </c>
      <c r="B26" s="4" t="s">
        <v>73</v>
      </c>
      <c r="C26" s="5" t="s">
        <v>74</v>
      </c>
      <c r="D26" s="5" t="s">
        <v>19</v>
      </c>
      <c r="E26" s="3">
        <v>5</v>
      </c>
      <c r="F26" s="23">
        <v>15000</v>
      </c>
    </row>
    <row r="27" spans="1:6" x14ac:dyDescent="0.55000000000000004">
      <c r="A27" s="3">
        <v>25</v>
      </c>
      <c r="B27" s="4" t="s">
        <v>75</v>
      </c>
      <c r="C27" s="5" t="s">
        <v>76</v>
      </c>
      <c r="D27" s="5" t="s">
        <v>4</v>
      </c>
      <c r="E27" s="3">
        <v>17</v>
      </c>
      <c r="F27" s="23">
        <v>405000</v>
      </c>
    </row>
    <row r="28" spans="1:6" x14ac:dyDescent="0.55000000000000004">
      <c r="A28" s="3">
        <v>26</v>
      </c>
      <c r="B28" s="4" t="s">
        <v>79</v>
      </c>
      <c r="C28" s="5" t="s">
        <v>80</v>
      </c>
      <c r="D28" s="5" t="s">
        <v>4</v>
      </c>
      <c r="E28" s="3">
        <v>1</v>
      </c>
      <c r="F28" s="23">
        <v>202000</v>
      </c>
    </row>
    <row r="29" spans="1:6" x14ac:dyDescent="0.55000000000000004">
      <c r="A29" s="3">
        <v>27</v>
      </c>
      <c r="B29" s="4" t="s">
        <v>81</v>
      </c>
      <c r="C29" s="5" t="s">
        <v>82</v>
      </c>
      <c r="D29" s="5" t="s">
        <v>25</v>
      </c>
      <c r="E29" s="3">
        <v>8</v>
      </c>
      <c r="F29" s="23">
        <v>144000</v>
      </c>
    </row>
    <row r="30" spans="1:6" x14ac:dyDescent="0.55000000000000004">
      <c r="A30" s="3">
        <v>28</v>
      </c>
      <c r="B30" s="4" t="s">
        <v>83</v>
      </c>
      <c r="C30" s="5" t="s">
        <v>84</v>
      </c>
      <c r="D30" s="5" t="s">
        <v>25</v>
      </c>
      <c r="E30" s="3">
        <v>4</v>
      </c>
      <c r="F30" s="23">
        <v>156000</v>
      </c>
    </row>
    <row r="31" spans="1:6" x14ac:dyDescent="0.55000000000000004">
      <c r="A31" s="3">
        <v>29</v>
      </c>
      <c r="B31" s="4" t="s">
        <v>85</v>
      </c>
      <c r="C31" s="5" t="s">
        <v>86</v>
      </c>
      <c r="D31" s="5" t="s">
        <v>25</v>
      </c>
      <c r="E31" s="3">
        <v>1</v>
      </c>
      <c r="F31" s="23">
        <v>25000</v>
      </c>
    </row>
    <row r="32" spans="1:6" x14ac:dyDescent="0.55000000000000004">
      <c r="A32" s="3">
        <v>30</v>
      </c>
      <c r="B32" s="4" t="s">
        <v>87</v>
      </c>
      <c r="C32" s="5" t="s">
        <v>88</v>
      </c>
      <c r="D32" s="5" t="s">
        <v>25</v>
      </c>
      <c r="E32" s="3">
        <v>12</v>
      </c>
      <c r="F32" s="23">
        <v>228000</v>
      </c>
    </row>
    <row r="33" spans="1:6" x14ac:dyDescent="0.55000000000000004">
      <c r="A33" s="3">
        <v>31</v>
      </c>
      <c r="B33" s="4" t="s">
        <v>89</v>
      </c>
      <c r="C33" s="5" t="s">
        <v>90</v>
      </c>
      <c r="D33" s="5" t="s">
        <v>19</v>
      </c>
      <c r="E33" s="3">
        <v>19</v>
      </c>
      <c r="F33" s="23">
        <v>399000</v>
      </c>
    </row>
    <row r="34" spans="1:6" x14ac:dyDescent="0.55000000000000004">
      <c r="A34" s="3">
        <v>32</v>
      </c>
      <c r="B34" s="4" t="s">
        <v>93</v>
      </c>
      <c r="C34" s="5" t="s">
        <v>94</v>
      </c>
      <c r="D34" s="5" t="s">
        <v>25</v>
      </c>
      <c r="E34" s="3">
        <v>1</v>
      </c>
      <c r="F34" s="23">
        <v>21000</v>
      </c>
    </row>
    <row r="35" spans="1:6" x14ac:dyDescent="0.55000000000000004">
      <c r="A35" s="3">
        <v>33</v>
      </c>
      <c r="B35" s="4" t="s">
        <v>95</v>
      </c>
      <c r="C35" s="5" t="s">
        <v>96</v>
      </c>
      <c r="D35" s="5" t="s">
        <v>25</v>
      </c>
      <c r="E35" s="3">
        <v>15</v>
      </c>
      <c r="F35" s="23">
        <v>360000</v>
      </c>
    </row>
    <row r="36" spans="1:6" x14ac:dyDescent="0.55000000000000004">
      <c r="A36" s="3">
        <v>34</v>
      </c>
      <c r="B36" s="4" t="s">
        <v>97</v>
      </c>
      <c r="C36" s="5" t="s">
        <v>98</v>
      </c>
      <c r="D36" s="5" t="s">
        <v>25</v>
      </c>
      <c r="E36" s="3">
        <v>13</v>
      </c>
      <c r="F36" s="23">
        <v>351000</v>
      </c>
    </row>
    <row r="37" spans="1:6" x14ac:dyDescent="0.55000000000000004">
      <c r="A37" s="3">
        <v>35</v>
      </c>
      <c r="B37" s="4" t="s">
        <v>99</v>
      </c>
      <c r="C37" s="5" t="s">
        <v>100</v>
      </c>
      <c r="D37" s="5" t="s">
        <v>25</v>
      </c>
      <c r="E37" s="3">
        <v>1</v>
      </c>
      <c r="F37" s="23">
        <v>37000</v>
      </c>
    </row>
    <row r="38" spans="1:6" x14ac:dyDescent="0.55000000000000004">
      <c r="A38" s="3">
        <v>36</v>
      </c>
      <c r="B38" s="4" t="s">
        <v>101</v>
      </c>
      <c r="C38" s="5" t="s">
        <v>102</v>
      </c>
      <c r="D38" s="5" t="s">
        <v>25</v>
      </c>
      <c r="E38" s="3">
        <v>2</v>
      </c>
      <c r="F38" s="23">
        <v>92000</v>
      </c>
    </row>
    <row r="39" spans="1:6" x14ac:dyDescent="0.55000000000000004">
      <c r="A39" s="3">
        <v>37</v>
      </c>
      <c r="B39" s="4" t="s">
        <v>103</v>
      </c>
      <c r="C39" s="5" t="s">
        <v>104</v>
      </c>
      <c r="D39" s="5" t="s">
        <v>19</v>
      </c>
      <c r="E39" s="3">
        <v>57</v>
      </c>
      <c r="F39" s="23">
        <v>795000</v>
      </c>
    </row>
    <row r="40" spans="1:6" x14ac:dyDescent="0.55000000000000004">
      <c r="A40" s="3">
        <v>38</v>
      </c>
      <c r="B40" s="4" t="s">
        <v>105</v>
      </c>
      <c r="C40" s="5" t="s">
        <v>106</v>
      </c>
      <c r="D40" s="5" t="s">
        <v>19</v>
      </c>
      <c r="E40" s="3">
        <v>4</v>
      </c>
      <c r="F40" s="23">
        <v>44000</v>
      </c>
    </row>
    <row r="41" spans="1:6" x14ac:dyDescent="0.55000000000000004">
      <c r="A41" s="3">
        <v>39</v>
      </c>
      <c r="B41" s="4" t="s">
        <v>570</v>
      </c>
      <c r="C41" s="5" t="s">
        <v>581</v>
      </c>
      <c r="D41" s="5" t="s">
        <v>25</v>
      </c>
      <c r="E41" s="3">
        <v>1</v>
      </c>
      <c r="F41" s="23">
        <v>28000</v>
      </c>
    </row>
    <row r="42" spans="1:6" x14ac:dyDescent="0.55000000000000004">
      <c r="A42" s="3">
        <v>40</v>
      </c>
      <c r="B42" s="4" t="s">
        <v>107</v>
      </c>
      <c r="C42" s="5" t="s">
        <v>108</v>
      </c>
      <c r="D42" s="5" t="s">
        <v>25</v>
      </c>
      <c r="E42" s="3">
        <v>3</v>
      </c>
      <c r="F42" s="23">
        <v>159000</v>
      </c>
    </row>
    <row r="43" spans="1:6" x14ac:dyDescent="0.55000000000000004">
      <c r="A43" s="3">
        <v>41</v>
      </c>
      <c r="B43" s="4" t="s">
        <v>118</v>
      </c>
      <c r="C43" s="5" t="s">
        <v>119</v>
      </c>
      <c r="D43" s="5" t="s">
        <v>25</v>
      </c>
      <c r="E43" s="3">
        <v>10</v>
      </c>
      <c r="F43" s="23">
        <v>350000</v>
      </c>
    </row>
    <row r="44" spans="1:6" x14ac:dyDescent="0.55000000000000004">
      <c r="A44" s="3">
        <v>42</v>
      </c>
      <c r="B44" s="4" t="s">
        <v>120</v>
      </c>
      <c r="C44" s="5" t="s">
        <v>121</v>
      </c>
      <c r="D44" s="5" t="s">
        <v>19</v>
      </c>
      <c r="E44" s="3">
        <v>104</v>
      </c>
      <c r="F44" s="23">
        <v>2032000</v>
      </c>
    </row>
    <row r="45" spans="1:6" x14ac:dyDescent="0.55000000000000004">
      <c r="A45" s="3">
        <v>43</v>
      </c>
      <c r="B45" s="4" t="s">
        <v>124</v>
      </c>
      <c r="C45" s="5" t="s">
        <v>125</v>
      </c>
      <c r="D45" s="5" t="s">
        <v>111</v>
      </c>
      <c r="E45" s="3">
        <v>4</v>
      </c>
      <c r="F45" s="23">
        <v>232000</v>
      </c>
    </row>
    <row r="46" spans="1:6" x14ac:dyDescent="0.55000000000000004">
      <c r="A46" s="3">
        <v>44</v>
      </c>
      <c r="B46" s="4" t="s">
        <v>126</v>
      </c>
      <c r="C46" s="5" t="s">
        <v>127</v>
      </c>
      <c r="D46" s="5" t="s">
        <v>19</v>
      </c>
      <c r="E46" s="3">
        <v>10</v>
      </c>
      <c r="F46" s="23">
        <v>112000</v>
      </c>
    </row>
    <row r="47" spans="1:6" x14ac:dyDescent="0.55000000000000004">
      <c r="A47" s="3">
        <v>45</v>
      </c>
      <c r="B47" s="4" t="s">
        <v>128</v>
      </c>
      <c r="C47" s="5" t="s">
        <v>129</v>
      </c>
      <c r="D47" s="5" t="s">
        <v>4</v>
      </c>
      <c r="E47" s="3">
        <v>8</v>
      </c>
      <c r="F47" s="23">
        <v>1336000</v>
      </c>
    </row>
    <row r="48" spans="1:6" x14ac:dyDescent="0.55000000000000004">
      <c r="A48" s="3">
        <v>46</v>
      </c>
      <c r="B48" s="4" t="s">
        <v>130</v>
      </c>
      <c r="C48" s="5" t="s">
        <v>131</v>
      </c>
      <c r="D48" s="5" t="s">
        <v>5</v>
      </c>
      <c r="E48" s="3">
        <v>26</v>
      </c>
      <c r="F48" s="23">
        <v>283999.99959999998</v>
      </c>
    </row>
    <row r="49" spans="1:6" x14ac:dyDescent="0.55000000000000004">
      <c r="A49" s="3">
        <v>47</v>
      </c>
      <c r="B49" s="4" t="s">
        <v>136</v>
      </c>
      <c r="C49" s="5" t="s">
        <v>137</v>
      </c>
      <c r="D49" s="5" t="s">
        <v>66</v>
      </c>
      <c r="E49" s="3">
        <v>2</v>
      </c>
      <c r="F49" s="23">
        <v>64000</v>
      </c>
    </row>
    <row r="50" spans="1:6" x14ac:dyDescent="0.55000000000000004">
      <c r="A50" s="3">
        <v>48</v>
      </c>
      <c r="B50" s="4" t="s">
        <v>144</v>
      </c>
      <c r="C50" s="5" t="s">
        <v>145</v>
      </c>
      <c r="D50" s="5" t="s">
        <v>25</v>
      </c>
      <c r="E50" s="3">
        <v>9</v>
      </c>
      <c r="F50" s="23">
        <v>1071000</v>
      </c>
    </row>
    <row r="51" spans="1:6" x14ac:dyDescent="0.55000000000000004">
      <c r="A51" s="3">
        <v>49</v>
      </c>
      <c r="B51" s="4" t="s">
        <v>146</v>
      </c>
      <c r="C51" s="5" t="s">
        <v>147</v>
      </c>
      <c r="D51" s="5" t="s">
        <v>19</v>
      </c>
      <c r="E51" s="3">
        <v>2</v>
      </c>
      <c r="F51" s="23">
        <v>116000</v>
      </c>
    </row>
    <row r="52" spans="1:6" x14ac:dyDescent="0.55000000000000004">
      <c r="A52" s="3">
        <v>50</v>
      </c>
      <c r="B52" s="4" t="s">
        <v>150</v>
      </c>
      <c r="C52" s="5" t="s">
        <v>151</v>
      </c>
      <c r="D52" s="5" t="s">
        <v>25</v>
      </c>
      <c r="E52" s="3">
        <v>4</v>
      </c>
      <c r="F52" s="23">
        <v>48000</v>
      </c>
    </row>
    <row r="53" spans="1:6" x14ac:dyDescent="0.55000000000000004">
      <c r="A53" s="3">
        <v>51</v>
      </c>
      <c r="B53" s="4" t="s">
        <v>465</v>
      </c>
      <c r="C53" s="5" t="s">
        <v>582</v>
      </c>
      <c r="D53" s="5" t="s">
        <v>25</v>
      </c>
      <c r="E53" s="3">
        <v>1</v>
      </c>
      <c r="F53" s="23">
        <v>53000</v>
      </c>
    </row>
    <row r="54" spans="1:6" s="11" customFormat="1" ht="19.8" customHeight="1" x14ac:dyDescent="0.55000000000000004">
      <c r="A54" s="32" t="s">
        <v>14</v>
      </c>
      <c r="B54" s="33"/>
      <c r="C54" s="33"/>
      <c r="D54" s="33"/>
      <c r="E54" s="34"/>
      <c r="F54" s="10">
        <f>SUM(F3:F53)</f>
        <v>16413999.999400001</v>
      </c>
    </row>
    <row r="55" spans="1:6" s="11" customFormat="1" x14ac:dyDescent="0.55000000000000004">
      <c r="A55" s="22"/>
      <c r="B55" s="12"/>
      <c r="C55" s="12"/>
      <c r="D55" s="12"/>
      <c r="E55" s="12"/>
      <c r="F55" s="13"/>
    </row>
    <row r="56" spans="1:6" x14ac:dyDescent="0.55000000000000004">
      <c r="A56" s="14"/>
      <c r="B56" s="14"/>
      <c r="C56" s="11"/>
      <c r="D56" s="30" t="s">
        <v>15</v>
      </c>
      <c r="E56" s="30"/>
      <c r="F56" s="30"/>
    </row>
    <row r="57" spans="1:6" x14ac:dyDescent="0.55000000000000004">
      <c r="A57" s="14"/>
      <c r="B57" s="11"/>
      <c r="C57" s="11"/>
      <c r="D57" s="31">
        <v>46266</v>
      </c>
      <c r="E57" s="31"/>
      <c r="F57" s="31"/>
    </row>
    <row r="58" spans="1:6" x14ac:dyDescent="0.55000000000000004">
      <c r="D58" s="26" t="s">
        <v>16</v>
      </c>
      <c r="E58" s="26"/>
      <c r="F58" s="26"/>
    </row>
  </sheetData>
  <mergeCells count="5">
    <mergeCell ref="A54:E54"/>
    <mergeCell ref="D56:F56"/>
    <mergeCell ref="D57:F57"/>
    <mergeCell ref="D58:F58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C41C-28EC-480F-9ABE-50DE998D16EF}">
  <dimension ref="A1:J73"/>
  <sheetViews>
    <sheetView workbookViewId="0">
      <selection sqref="A1:F1"/>
    </sheetView>
  </sheetViews>
  <sheetFormatPr defaultRowHeight="18.600000000000001" x14ac:dyDescent="0.55000000000000004"/>
  <cols>
    <col min="1" max="1" width="5.6640625" style="17" bestFit="1" customWidth="1"/>
    <col min="2" max="2" width="10.77734375" style="16" customWidth="1"/>
    <col min="3" max="3" width="55" style="16" bestFit="1" customWidth="1"/>
    <col min="4" max="4" width="8.109375" style="16" bestFit="1" customWidth="1"/>
    <col min="5" max="5" width="6.5546875" style="17" bestFit="1" customWidth="1"/>
    <col min="6" max="6" width="15.6640625" style="18" customWidth="1"/>
    <col min="7" max="16384" width="8.88671875" style="16"/>
  </cols>
  <sheetData>
    <row r="1" spans="1:10" s="6" customFormat="1" ht="25.8" customHeight="1" x14ac:dyDescent="0.3">
      <c r="A1" s="27" t="s">
        <v>593</v>
      </c>
      <c r="B1" s="28"/>
      <c r="C1" s="28"/>
      <c r="D1" s="28"/>
      <c r="E1" s="28"/>
      <c r="F1" s="29"/>
    </row>
    <row r="2" spans="1:10" s="8" customFormat="1" ht="17.399999999999999" customHeight="1" x14ac:dyDescent="0.3">
      <c r="A2" s="1" t="s">
        <v>0</v>
      </c>
      <c r="B2" s="2" t="s">
        <v>1</v>
      </c>
      <c r="C2" s="1" t="s">
        <v>2</v>
      </c>
      <c r="D2" s="1" t="s">
        <v>3</v>
      </c>
      <c r="E2" s="7" t="s">
        <v>13</v>
      </c>
      <c r="F2" s="7" t="s">
        <v>12</v>
      </c>
    </row>
    <row r="3" spans="1:10" x14ac:dyDescent="0.55000000000000004">
      <c r="A3" s="3">
        <v>1</v>
      </c>
      <c r="B3" s="4" t="s">
        <v>17</v>
      </c>
      <c r="C3" s="5" t="s">
        <v>18</v>
      </c>
      <c r="D3" s="5" t="s">
        <v>19</v>
      </c>
      <c r="E3" s="3">
        <v>35</v>
      </c>
      <c r="F3" s="23">
        <v>124000</v>
      </c>
    </row>
    <row r="4" spans="1:10" x14ac:dyDescent="0.55000000000000004">
      <c r="A4" s="3">
        <v>2</v>
      </c>
      <c r="B4" s="4" t="s">
        <v>23</v>
      </c>
      <c r="C4" s="5" t="s">
        <v>24</v>
      </c>
      <c r="D4" s="5" t="s">
        <v>25</v>
      </c>
      <c r="E4" s="3">
        <v>7</v>
      </c>
      <c r="F4" s="23">
        <v>224000</v>
      </c>
    </row>
    <row r="5" spans="1:10" x14ac:dyDescent="0.55000000000000004">
      <c r="A5" s="3">
        <v>3</v>
      </c>
      <c r="B5" s="4" t="s">
        <v>26</v>
      </c>
      <c r="C5" s="5" t="s">
        <v>27</v>
      </c>
      <c r="D5" s="5" t="s">
        <v>19</v>
      </c>
      <c r="E5" s="3">
        <v>220</v>
      </c>
      <c r="F5" s="23">
        <v>3244000</v>
      </c>
    </row>
    <row r="6" spans="1:10" x14ac:dyDescent="0.55000000000000004">
      <c r="A6" s="3">
        <v>4</v>
      </c>
      <c r="B6" s="4" t="s">
        <v>28</v>
      </c>
      <c r="C6" s="5" t="s">
        <v>29</v>
      </c>
      <c r="D6" s="5" t="s">
        <v>25</v>
      </c>
      <c r="E6" s="3">
        <v>78</v>
      </c>
      <c r="F6" s="23">
        <v>2479999.9992</v>
      </c>
    </row>
    <row r="7" spans="1:10" x14ac:dyDescent="0.55000000000000004">
      <c r="A7" s="3">
        <v>5</v>
      </c>
      <c r="B7" s="4" t="s">
        <v>30</v>
      </c>
      <c r="C7" s="5" t="s">
        <v>31</v>
      </c>
      <c r="D7" s="5" t="s">
        <v>25</v>
      </c>
      <c r="E7" s="3">
        <v>19</v>
      </c>
      <c r="F7" s="23">
        <v>209000</v>
      </c>
    </row>
    <row r="8" spans="1:10" x14ac:dyDescent="0.55000000000000004">
      <c r="A8" s="3">
        <v>6</v>
      </c>
      <c r="B8" s="4" t="s">
        <v>32</v>
      </c>
      <c r="C8" s="5" t="s">
        <v>33</v>
      </c>
      <c r="D8" s="5" t="s">
        <v>25</v>
      </c>
      <c r="E8" s="3">
        <v>60</v>
      </c>
      <c r="F8" s="23">
        <v>651000</v>
      </c>
    </row>
    <row r="9" spans="1:10" x14ac:dyDescent="0.55000000000000004">
      <c r="A9" s="3">
        <v>7</v>
      </c>
      <c r="B9" s="4" t="s">
        <v>34</v>
      </c>
      <c r="C9" s="5" t="s">
        <v>35</v>
      </c>
      <c r="D9" s="5" t="s">
        <v>25</v>
      </c>
      <c r="E9" s="3">
        <v>19</v>
      </c>
      <c r="F9" s="23">
        <v>304000</v>
      </c>
    </row>
    <row r="10" spans="1:10" x14ac:dyDescent="0.55000000000000004">
      <c r="A10" s="3">
        <v>8</v>
      </c>
      <c r="B10" s="4" t="s">
        <v>36</v>
      </c>
      <c r="C10" s="5" t="s">
        <v>37</v>
      </c>
      <c r="D10" s="5" t="s">
        <v>25</v>
      </c>
      <c r="E10" s="3">
        <v>804</v>
      </c>
      <c r="F10" s="23">
        <v>8580000</v>
      </c>
    </row>
    <row r="11" spans="1:10" s="11" customFormat="1" x14ac:dyDescent="0.55000000000000004">
      <c r="A11" s="3">
        <v>9</v>
      </c>
      <c r="B11" s="4" t="s">
        <v>38</v>
      </c>
      <c r="C11" s="5" t="s">
        <v>39</v>
      </c>
      <c r="D11" s="5" t="s">
        <v>19</v>
      </c>
      <c r="E11" s="3">
        <v>101</v>
      </c>
      <c r="F11" s="23">
        <v>1414000</v>
      </c>
    </row>
    <row r="12" spans="1:10" s="11" customFormat="1" x14ac:dyDescent="0.55000000000000004">
      <c r="A12" s="3">
        <v>10</v>
      </c>
      <c r="B12" s="4" t="s">
        <v>40</v>
      </c>
      <c r="C12" s="5" t="s">
        <v>41</v>
      </c>
      <c r="D12" s="5" t="s">
        <v>19</v>
      </c>
      <c r="E12" s="3">
        <v>279</v>
      </c>
      <c r="F12" s="23">
        <v>1070000</v>
      </c>
      <c r="J12" s="14"/>
    </row>
    <row r="13" spans="1:10" s="11" customFormat="1" ht="19.8" customHeight="1" x14ac:dyDescent="0.55000000000000004">
      <c r="A13" s="3">
        <v>11</v>
      </c>
      <c r="B13" s="4" t="s">
        <v>42</v>
      </c>
      <c r="C13" s="5" t="s">
        <v>43</v>
      </c>
      <c r="D13" s="5" t="s">
        <v>25</v>
      </c>
      <c r="E13" s="3">
        <v>16</v>
      </c>
      <c r="F13" s="23">
        <v>157000</v>
      </c>
    </row>
    <row r="14" spans="1:10" s="11" customFormat="1" x14ac:dyDescent="0.55000000000000004">
      <c r="A14" s="3">
        <v>12</v>
      </c>
      <c r="B14" s="4" t="s">
        <v>44</v>
      </c>
      <c r="C14" s="5" t="s">
        <v>45</v>
      </c>
      <c r="D14" s="5" t="s">
        <v>4</v>
      </c>
      <c r="E14" s="3">
        <v>228</v>
      </c>
      <c r="F14" s="23">
        <v>6151000</v>
      </c>
    </row>
    <row r="15" spans="1:10" x14ac:dyDescent="0.55000000000000004">
      <c r="A15" s="3">
        <v>13</v>
      </c>
      <c r="B15" s="4" t="s">
        <v>46</v>
      </c>
      <c r="C15" s="5" t="s">
        <v>47</v>
      </c>
      <c r="D15" s="5" t="s">
        <v>4</v>
      </c>
      <c r="E15" s="3">
        <v>52</v>
      </c>
      <c r="F15" s="23">
        <v>10504000</v>
      </c>
    </row>
    <row r="16" spans="1:10" x14ac:dyDescent="0.55000000000000004">
      <c r="A16" s="3">
        <v>14</v>
      </c>
      <c r="B16" s="4" t="s">
        <v>48</v>
      </c>
      <c r="C16" s="5" t="s">
        <v>49</v>
      </c>
      <c r="D16" s="5" t="s">
        <v>19</v>
      </c>
      <c r="E16" s="3">
        <v>446</v>
      </c>
      <c r="F16" s="23">
        <v>8303000</v>
      </c>
    </row>
    <row r="17" spans="1:6" x14ac:dyDescent="0.55000000000000004">
      <c r="A17" s="3">
        <v>15</v>
      </c>
      <c r="B17" s="4" t="s">
        <v>50</v>
      </c>
      <c r="C17" s="5" t="s">
        <v>51</v>
      </c>
      <c r="D17" s="5" t="s">
        <v>19</v>
      </c>
      <c r="E17" s="3">
        <v>81</v>
      </c>
      <c r="F17" s="23">
        <v>972000</v>
      </c>
    </row>
    <row r="18" spans="1:6" x14ac:dyDescent="0.55000000000000004">
      <c r="A18" s="3">
        <v>16</v>
      </c>
      <c r="B18" s="4" t="s">
        <v>52</v>
      </c>
      <c r="C18" s="5" t="s">
        <v>53</v>
      </c>
      <c r="D18" s="5" t="s">
        <v>19</v>
      </c>
      <c r="E18" s="3">
        <v>266</v>
      </c>
      <c r="F18" s="23">
        <v>1569000</v>
      </c>
    </row>
    <row r="19" spans="1:6" x14ac:dyDescent="0.55000000000000004">
      <c r="A19" s="3">
        <v>17</v>
      </c>
      <c r="B19" s="4" t="s">
        <v>528</v>
      </c>
      <c r="C19" s="5" t="s">
        <v>583</v>
      </c>
      <c r="D19" s="5" t="s">
        <v>111</v>
      </c>
      <c r="E19" s="3">
        <v>3</v>
      </c>
      <c r="F19" s="23">
        <v>105000</v>
      </c>
    </row>
    <row r="20" spans="1:6" x14ac:dyDescent="0.55000000000000004">
      <c r="A20" s="3">
        <v>18</v>
      </c>
      <c r="B20" s="4" t="s">
        <v>54</v>
      </c>
      <c r="C20" s="5" t="s">
        <v>55</v>
      </c>
      <c r="D20" s="5" t="s">
        <v>19</v>
      </c>
      <c r="E20" s="3">
        <v>583</v>
      </c>
      <c r="F20" s="23">
        <v>4066000</v>
      </c>
    </row>
    <row r="21" spans="1:6" x14ac:dyDescent="0.55000000000000004">
      <c r="A21" s="3">
        <v>19</v>
      </c>
      <c r="B21" s="4" t="s">
        <v>56</v>
      </c>
      <c r="C21" s="5" t="s">
        <v>57</v>
      </c>
      <c r="D21" s="5" t="s">
        <v>19</v>
      </c>
      <c r="E21" s="3">
        <v>188</v>
      </c>
      <c r="F21" s="23">
        <v>2435000</v>
      </c>
    </row>
    <row r="22" spans="1:6" x14ac:dyDescent="0.55000000000000004">
      <c r="A22" s="3">
        <v>20</v>
      </c>
      <c r="B22" s="4" t="s">
        <v>58</v>
      </c>
      <c r="C22" s="5" t="s">
        <v>59</v>
      </c>
      <c r="D22" s="5" t="s">
        <v>25</v>
      </c>
      <c r="E22" s="3">
        <v>76</v>
      </c>
      <c r="F22" s="23">
        <v>751999.99959999998</v>
      </c>
    </row>
    <row r="23" spans="1:6" x14ac:dyDescent="0.55000000000000004">
      <c r="A23" s="3">
        <v>21</v>
      </c>
      <c r="B23" s="4" t="s">
        <v>60</v>
      </c>
      <c r="C23" s="5" t="s">
        <v>61</v>
      </c>
      <c r="D23" s="5" t="s">
        <v>19</v>
      </c>
      <c r="E23" s="3">
        <v>218</v>
      </c>
      <c r="F23" s="23">
        <v>2609000</v>
      </c>
    </row>
    <row r="24" spans="1:6" x14ac:dyDescent="0.55000000000000004">
      <c r="A24" s="3">
        <v>22</v>
      </c>
      <c r="B24" s="4" t="s">
        <v>62</v>
      </c>
      <c r="C24" s="5" t="s">
        <v>63</v>
      </c>
      <c r="D24" s="5" t="s">
        <v>25</v>
      </c>
      <c r="E24" s="3">
        <v>74</v>
      </c>
      <c r="F24" s="23">
        <v>796000</v>
      </c>
    </row>
    <row r="25" spans="1:6" x14ac:dyDescent="0.55000000000000004">
      <c r="A25" s="3">
        <v>23</v>
      </c>
      <c r="B25" s="4" t="s">
        <v>64</v>
      </c>
      <c r="C25" s="5" t="s">
        <v>65</v>
      </c>
      <c r="D25" s="5" t="s">
        <v>66</v>
      </c>
      <c r="E25" s="3">
        <v>1586</v>
      </c>
      <c r="F25" s="23">
        <v>9411000</v>
      </c>
    </row>
    <row r="26" spans="1:6" x14ac:dyDescent="0.55000000000000004">
      <c r="A26" s="3">
        <v>24</v>
      </c>
      <c r="B26" s="4" t="s">
        <v>67</v>
      </c>
      <c r="C26" s="5" t="s">
        <v>68</v>
      </c>
      <c r="D26" s="5" t="s">
        <v>19</v>
      </c>
      <c r="E26" s="3">
        <v>2106</v>
      </c>
      <c r="F26" s="23">
        <v>11709000</v>
      </c>
    </row>
    <row r="27" spans="1:6" x14ac:dyDescent="0.55000000000000004">
      <c r="A27" s="3">
        <v>25</v>
      </c>
      <c r="B27" s="4" t="s">
        <v>69</v>
      </c>
      <c r="C27" s="5" t="s">
        <v>70</v>
      </c>
      <c r="D27" s="5" t="s">
        <v>25</v>
      </c>
      <c r="E27" s="3">
        <v>6</v>
      </c>
      <c r="F27" s="23">
        <v>66000</v>
      </c>
    </row>
    <row r="28" spans="1:6" x14ac:dyDescent="0.55000000000000004">
      <c r="A28" s="3">
        <v>26</v>
      </c>
      <c r="B28" s="4" t="s">
        <v>71</v>
      </c>
      <c r="C28" s="5" t="s">
        <v>72</v>
      </c>
      <c r="D28" s="5" t="s">
        <v>25</v>
      </c>
      <c r="E28" s="3">
        <v>64</v>
      </c>
      <c r="F28" s="23">
        <v>1280000</v>
      </c>
    </row>
    <row r="29" spans="1:6" x14ac:dyDescent="0.55000000000000004">
      <c r="A29" s="3">
        <v>27</v>
      </c>
      <c r="B29" s="4" t="s">
        <v>73</v>
      </c>
      <c r="C29" s="5" t="s">
        <v>74</v>
      </c>
      <c r="D29" s="5" t="s">
        <v>19</v>
      </c>
      <c r="E29" s="3">
        <v>233</v>
      </c>
      <c r="F29" s="23">
        <v>666000</v>
      </c>
    </row>
    <row r="30" spans="1:6" x14ac:dyDescent="0.55000000000000004">
      <c r="A30" s="3">
        <v>28</v>
      </c>
      <c r="B30" s="4" t="s">
        <v>75</v>
      </c>
      <c r="C30" s="5" t="s">
        <v>76</v>
      </c>
      <c r="D30" s="5" t="s">
        <v>4</v>
      </c>
      <c r="E30" s="3">
        <v>63</v>
      </c>
      <c r="F30" s="23">
        <v>1497000</v>
      </c>
    </row>
    <row r="31" spans="1:6" x14ac:dyDescent="0.55000000000000004">
      <c r="A31" s="3">
        <v>29</v>
      </c>
      <c r="B31" s="4" t="s">
        <v>77</v>
      </c>
      <c r="C31" s="5" t="s">
        <v>78</v>
      </c>
      <c r="D31" s="5" t="s">
        <v>25</v>
      </c>
      <c r="E31" s="3">
        <v>12</v>
      </c>
      <c r="F31" s="23">
        <v>132000</v>
      </c>
    </row>
    <row r="32" spans="1:6" x14ac:dyDescent="0.55000000000000004">
      <c r="A32" s="3">
        <v>30</v>
      </c>
      <c r="B32" s="4" t="s">
        <v>79</v>
      </c>
      <c r="C32" s="5" t="s">
        <v>80</v>
      </c>
      <c r="D32" s="5" t="s">
        <v>4</v>
      </c>
      <c r="E32" s="3">
        <v>26</v>
      </c>
      <c r="F32" s="23">
        <v>5252000</v>
      </c>
    </row>
    <row r="33" spans="1:6" x14ac:dyDescent="0.55000000000000004">
      <c r="A33" s="3">
        <v>31</v>
      </c>
      <c r="B33" s="4" t="s">
        <v>81</v>
      </c>
      <c r="C33" s="5" t="s">
        <v>82</v>
      </c>
      <c r="D33" s="5" t="s">
        <v>25</v>
      </c>
      <c r="E33" s="3">
        <v>121</v>
      </c>
      <c r="F33" s="23">
        <v>2171000.0003999998</v>
      </c>
    </row>
    <row r="34" spans="1:6" x14ac:dyDescent="0.55000000000000004">
      <c r="A34" s="3">
        <v>32</v>
      </c>
      <c r="B34" s="4" t="s">
        <v>83</v>
      </c>
      <c r="C34" s="5" t="s">
        <v>84</v>
      </c>
      <c r="D34" s="5" t="s">
        <v>25</v>
      </c>
      <c r="E34" s="3">
        <v>3</v>
      </c>
      <c r="F34" s="23">
        <v>117000</v>
      </c>
    </row>
    <row r="35" spans="1:6" x14ac:dyDescent="0.55000000000000004">
      <c r="A35" s="3">
        <v>33</v>
      </c>
      <c r="B35" s="4" t="s">
        <v>85</v>
      </c>
      <c r="C35" s="5" t="s">
        <v>86</v>
      </c>
      <c r="D35" s="5" t="s">
        <v>25</v>
      </c>
      <c r="E35" s="3">
        <v>2</v>
      </c>
      <c r="F35" s="23">
        <v>50000</v>
      </c>
    </row>
    <row r="36" spans="1:6" x14ac:dyDescent="0.55000000000000004">
      <c r="A36" s="3">
        <v>34</v>
      </c>
      <c r="B36" s="4" t="s">
        <v>87</v>
      </c>
      <c r="C36" s="5" t="s">
        <v>88</v>
      </c>
      <c r="D36" s="5" t="s">
        <v>25</v>
      </c>
      <c r="E36" s="3">
        <v>246</v>
      </c>
      <c r="F36" s="23">
        <v>4639999.9979999997</v>
      </c>
    </row>
    <row r="37" spans="1:6" x14ac:dyDescent="0.55000000000000004">
      <c r="A37" s="3">
        <v>35</v>
      </c>
      <c r="B37" s="4" t="s">
        <v>89</v>
      </c>
      <c r="C37" s="5" t="s">
        <v>90</v>
      </c>
      <c r="D37" s="5" t="s">
        <v>19</v>
      </c>
      <c r="E37" s="3">
        <v>90</v>
      </c>
      <c r="F37" s="23">
        <v>1890000</v>
      </c>
    </row>
    <row r="38" spans="1:6" x14ac:dyDescent="0.55000000000000004">
      <c r="A38" s="3">
        <v>36</v>
      </c>
      <c r="B38" s="4" t="s">
        <v>91</v>
      </c>
      <c r="C38" s="5" t="s">
        <v>92</v>
      </c>
      <c r="D38" s="5" t="s">
        <v>25</v>
      </c>
      <c r="E38" s="3">
        <v>42</v>
      </c>
      <c r="F38" s="23">
        <v>837000</v>
      </c>
    </row>
    <row r="39" spans="1:6" x14ac:dyDescent="0.55000000000000004">
      <c r="A39" s="3">
        <v>37</v>
      </c>
      <c r="B39" s="4" t="s">
        <v>95</v>
      </c>
      <c r="C39" s="5" t="s">
        <v>96</v>
      </c>
      <c r="D39" s="5" t="s">
        <v>25</v>
      </c>
      <c r="E39" s="3">
        <v>74</v>
      </c>
      <c r="F39" s="23">
        <v>1776000</v>
      </c>
    </row>
    <row r="40" spans="1:6" x14ac:dyDescent="0.55000000000000004">
      <c r="A40" s="3">
        <v>38</v>
      </c>
      <c r="B40" s="4" t="s">
        <v>97</v>
      </c>
      <c r="C40" s="5" t="s">
        <v>98</v>
      </c>
      <c r="D40" s="5" t="s">
        <v>25</v>
      </c>
      <c r="E40" s="3">
        <v>76</v>
      </c>
      <c r="F40" s="23">
        <v>2007999.9983999999</v>
      </c>
    </row>
    <row r="41" spans="1:6" x14ac:dyDescent="0.55000000000000004">
      <c r="A41" s="3">
        <v>39</v>
      </c>
      <c r="B41" s="4" t="s">
        <v>99</v>
      </c>
      <c r="C41" s="5" t="s">
        <v>100</v>
      </c>
      <c r="D41" s="5" t="s">
        <v>25</v>
      </c>
      <c r="E41" s="3">
        <v>20</v>
      </c>
      <c r="F41" s="23">
        <v>740000</v>
      </c>
    </row>
    <row r="42" spans="1:6" x14ac:dyDescent="0.55000000000000004">
      <c r="A42" s="3">
        <v>40</v>
      </c>
      <c r="B42" s="4" t="s">
        <v>101</v>
      </c>
      <c r="C42" s="5" t="s">
        <v>102</v>
      </c>
      <c r="D42" s="5" t="s">
        <v>25</v>
      </c>
      <c r="E42" s="3">
        <v>34</v>
      </c>
      <c r="F42" s="23">
        <v>1564000</v>
      </c>
    </row>
    <row r="43" spans="1:6" x14ac:dyDescent="0.55000000000000004">
      <c r="A43" s="3">
        <v>41</v>
      </c>
      <c r="B43" s="4" t="s">
        <v>103</v>
      </c>
      <c r="C43" s="5" t="s">
        <v>104</v>
      </c>
      <c r="D43" s="5" t="s">
        <v>19</v>
      </c>
      <c r="E43" s="3">
        <v>917</v>
      </c>
      <c r="F43" s="23">
        <v>12780000</v>
      </c>
    </row>
    <row r="44" spans="1:6" x14ac:dyDescent="0.55000000000000004">
      <c r="A44" s="3">
        <v>42</v>
      </c>
      <c r="B44" s="4" t="s">
        <v>105</v>
      </c>
      <c r="C44" s="5" t="s">
        <v>106</v>
      </c>
      <c r="D44" s="5" t="s">
        <v>19</v>
      </c>
      <c r="E44" s="3">
        <v>253</v>
      </c>
      <c r="F44" s="23">
        <v>2762000</v>
      </c>
    </row>
    <row r="45" spans="1:6" x14ac:dyDescent="0.55000000000000004">
      <c r="A45" s="3">
        <v>43</v>
      </c>
      <c r="B45" s="4" t="s">
        <v>570</v>
      </c>
      <c r="C45" s="5" t="s">
        <v>581</v>
      </c>
      <c r="D45" s="5" t="s">
        <v>25</v>
      </c>
      <c r="E45" s="3">
        <v>36</v>
      </c>
      <c r="F45" s="23">
        <v>1037969.5816</v>
      </c>
    </row>
    <row r="46" spans="1:6" x14ac:dyDescent="0.55000000000000004">
      <c r="A46" s="3">
        <v>44</v>
      </c>
      <c r="B46" s="4" t="s">
        <v>107</v>
      </c>
      <c r="C46" s="5" t="s">
        <v>108</v>
      </c>
      <c r="D46" s="5" t="s">
        <v>25</v>
      </c>
      <c r="E46" s="3">
        <v>17</v>
      </c>
      <c r="F46" s="23">
        <v>901000</v>
      </c>
    </row>
    <row r="47" spans="1:6" x14ac:dyDescent="0.55000000000000004">
      <c r="A47" s="3">
        <v>45</v>
      </c>
      <c r="B47" s="4" t="s">
        <v>109</v>
      </c>
      <c r="C47" s="5" t="s">
        <v>110</v>
      </c>
      <c r="D47" s="5" t="s">
        <v>111</v>
      </c>
      <c r="E47" s="3">
        <v>16</v>
      </c>
      <c r="F47" s="23">
        <v>896000</v>
      </c>
    </row>
    <row r="48" spans="1:6" x14ac:dyDescent="0.55000000000000004">
      <c r="A48" s="3">
        <v>46</v>
      </c>
      <c r="B48" s="4" t="s">
        <v>112</v>
      </c>
      <c r="C48" s="5" t="s">
        <v>113</v>
      </c>
      <c r="D48" s="5" t="s">
        <v>25</v>
      </c>
      <c r="E48" s="3">
        <v>2</v>
      </c>
      <c r="F48" s="23">
        <v>46000</v>
      </c>
    </row>
    <row r="49" spans="1:6" x14ac:dyDescent="0.55000000000000004">
      <c r="A49" s="3">
        <v>47</v>
      </c>
      <c r="B49" s="4" t="s">
        <v>114</v>
      </c>
      <c r="C49" s="5" t="s">
        <v>115</v>
      </c>
      <c r="D49" s="5" t="s">
        <v>25</v>
      </c>
      <c r="E49" s="3">
        <v>8</v>
      </c>
      <c r="F49" s="23">
        <v>360000</v>
      </c>
    </row>
    <row r="50" spans="1:6" x14ac:dyDescent="0.55000000000000004">
      <c r="A50" s="3">
        <v>48</v>
      </c>
      <c r="B50" s="4" t="s">
        <v>116</v>
      </c>
      <c r="C50" s="5" t="s">
        <v>117</v>
      </c>
      <c r="D50" s="5" t="s">
        <v>111</v>
      </c>
      <c r="E50" s="3">
        <v>17</v>
      </c>
      <c r="F50" s="23">
        <v>1190000</v>
      </c>
    </row>
    <row r="51" spans="1:6" x14ac:dyDescent="0.55000000000000004">
      <c r="A51" s="3">
        <v>49</v>
      </c>
      <c r="B51" s="4" t="s">
        <v>118</v>
      </c>
      <c r="C51" s="5" t="s">
        <v>119</v>
      </c>
      <c r="D51" s="5" t="s">
        <v>25</v>
      </c>
      <c r="E51" s="3">
        <v>20</v>
      </c>
      <c r="F51" s="23">
        <v>698000</v>
      </c>
    </row>
    <row r="52" spans="1:6" x14ac:dyDescent="0.55000000000000004">
      <c r="A52" s="3">
        <v>50</v>
      </c>
      <c r="B52" s="4" t="s">
        <v>120</v>
      </c>
      <c r="C52" s="5" t="s">
        <v>121</v>
      </c>
      <c r="D52" s="5" t="s">
        <v>19</v>
      </c>
      <c r="E52" s="3">
        <v>625</v>
      </c>
      <c r="F52" s="23">
        <v>12364000</v>
      </c>
    </row>
    <row r="53" spans="1:6" x14ac:dyDescent="0.55000000000000004">
      <c r="A53" s="3">
        <v>51</v>
      </c>
      <c r="B53" s="4" t="s">
        <v>124</v>
      </c>
      <c r="C53" s="5" t="s">
        <v>125</v>
      </c>
      <c r="D53" s="5" t="s">
        <v>111</v>
      </c>
      <c r="E53" s="3">
        <v>38</v>
      </c>
      <c r="F53" s="23">
        <v>2204000</v>
      </c>
    </row>
    <row r="54" spans="1:6" x14ac:dyDescent="0.55000000000000004">
      <c r="A54" s="3">
        <v>52</v>
      </c>
      <c r="B54" s="4" t="s">
        <v>126</v>
      </c>
      <c r="C54" s="5" t="s">
        <v>127</v>
      </c>
      <c r="D54" s="5" t="s">
        <v>19</v>
      </c>
      <c r="E54" s="3">
        <v>90</v>
      </c>
      <c r="F54" s="23">
        <v>1056000</v>
      </c>
    </row>
    <row r="55" spans="1:6" x14ac:dyDescent="0.55000000000000004">
      <c r="A55" s="3">
        <v>53</v>
      </c>
      <c r="B55" s="4" t="s">
        <v>128</v>
      </c>
      <c r="C55" s="5" t="s">
        <v>129</v>
      </c>
      <c r="D55" s="5" t="s">
        <v>4</v>
      </c>
      <c r="E55" s="3">
        <v>81</v>
      </c>
      <c r="F55" s="23">
        <v>13527000</v>
      </c>
    </row>
    <row r="56" spans="1:6" x14ac:dyDescent="0.55000000000000004">
      <c r="A56" s="3">
        <v>54</v>
      </c>
      <c r="B56" s="4" t="s">
        <v>130</v>
      </c>
      <c r="C56" s="5" t="s">
        <v>131</v>
      </c>
      <c r="D56" s="5" t="s">
        <v>5</v>
      </c>
      <c r="E56" s="3">
        <v>69</v>
      </c>
      <c r="F56" s="23">
        <v>757999.99979999999</v>
      </c>
    </row>
    <row r="57" spans="1:6" x14ac:dyDescent="0.55000000000000004">
      <c r="A57" s="3">
        <v>55</v>
      </c>
      <c r="B57" s="4" t="s">
        <v>132</v>
      </c>
      <c r="C57" s="5" t="s">
        <v>133</v>
      </c>
      <c r="D57" s="5" t="s">
        <v>4</v>
      </c>
      <c r="E57" s="3">
        <v>3</v>
      </c>
      <c r="F57" s="23">
        <v>627000</v>
      </c>
    </row>
    <row r="58" spans="1:6" x14ac:dyDescent="0.55000000000000004">
      <c r="A58" s="3">
        <v>56</v>
      </c>
      <c r="B58" s="4" t="s">
        <v>134</v>
      </c>
      <c r="C58" s="5" t="s">
        <v>135</v>
      </c>
      <c r="D58" s="5" t="s">
        <v>4</v>
      </c>
      <c r="E58" s="3">
        <v>2</v>
      </c>
      <c r="F58" s="23">
        <v>1140000</v>
      </c>
    </row>
    <row r="59" spans="1:6" x14ac:dyDescent="0.55000000000000004">
      <c r="A59" s="3">
        <v>57</v>
      </c>
      <c r="B59" s="4" t="s">
        <v>136</v>
      </c>
      <c r="C59" s="5" t="s">
        <v>137</v>
      </c>
      <c r="D59" s="5" t="s">
        <v>66</v>
      </c>
      <c r="E59" s="3">
        <v>78</v>
      </c>
      <c r="F59" s="23">
        <v>2496000</v>
      </c>
    </row>
    <row r="60" spans="1:6" x14ac:dyDescent="0.55000000000000004">
      <c r="A60" s="3">
        <v>58</v>
      </c>
      <c r="B60" s="4" t="s">
        <v>138</v>
      </c>
      <c r="C60" s="5" t="s">
        <v>139</v>
      </c>
      <c r="D60" s="5" t="s">
        <v>19</v>
      </c>
      <c r="E60" s="3">
        <v>19</v>
      </c>
      <c r="F60" s="23">
        <v>475000</v>
      </c>
    </row>
    <row r="61" spans="1:6" x14ac:dyDescent="0.55000000000000004">
      <c r="A61" s="3">
        <v>59</v>
      </c>
      <c r="B61" s="4" t="s">
        <v>140</v>
      </c>
      <c r="C61" s="5" t="s">
        <v>141</v>
      </c>
      <c r="D61" s="5" t="s">
        <v>111</v>
      </c>
      <c r="E61" s="3">
        <v>4</v>
      </c>
      <c r="F61" s="23">
        <v>404000</v>
      </c>
    </row>
    <row r="62" spans="1:6" x14ac:dyDescent="0.55000000000000004">
      <c r="A62" s="3">
        <v>60</v>
      </c>
      <c r="B62" s="4" t="s">
        <v>142</v>
      </c>
      <c r="C62" s="5" t="s">
        <v>143</v>
      </c>
      <c r="D62" s="5" t="s">
        <v>19</v>
      </c>
      <c r="E62" s="3">
        <v>12</v>
      </c>
      <c r="F62" s="23">
        <v>1392000</v>
      </c>
    </row>
    <row r="63" spans="1:6" x14ac:dyDescent="0.55000000000000004">
      <c r="A63" s="3">
        <v>61</v>
      </c>
      <c r="B63" s="4" t="s">
        <v>144</v>
      </c>
      <c r="C63" s="5" t="s">
        <v>145</v>
      </c>
      <c r="D63" s="5" t="s">
        <v>25</v>
      </c>
      <c r="E63" s="3">
        <v>63</v>
      </c>
      <c r="F63" s="23">
        <v>7497000</v>
      </c>
    </row>
    <row r="64" spans="1:6" x14ac:dyDescent="0.55000000000000004">
      <c r="A64" s="3">
        <v>62</v>
      </c>
      <c r="B64" s="4" t="s">
        <v>146</v>
      </c>
      <c r="C64" s="5" t="s">
        <v>147</v>
      </c>
      <c r="D64" s="5" t="s">
        <v>19</v>
      </c>
      <c r="E64" s="3">
        <v>80</v>
      </c>
      <c r="F64" s="23">
        <v>4634000</v>
      </c>
    </row>
    <row r="65" spans="1:6" x14ac:dyDescent="0.55000000000000004">
      <c r="A65" s="3">
        <v>63</v>
      </c>
      <c r="B65" s="4" t="s">
        <v>150</v>
      </c>
      <c r="C65" s="5" t="s">
        <v>151</v>
      </c>
      <c r="D65" s="5" t="s">
        <v>25</v>
      </c>
      <c r="E65" s="3">
        <v>83</v>
      </c>
      <c r="F65" s="23">
        <v>991999.99919999996</v>
      </c>
    </row>
    <row r="66" spans="1:6" x14ac:dyDescent="0.55000000000000004">
      <c r="A66" s="3">
        <v>64</v>
      </c>
      <c r="B66" s="4" t="s">
        <v>152</v>
      </c>
      <c r="C66" s="5" t="s">
        <v>153</v>
      </c>
      <c r="D66" s="5" t="s">
        <v>111</v>
      </c>
      <c r="E66" s="3">
        <v>4</v>
      </c>
      <c r="F66" s="23">
        <v>4</v>
      </c>
    </row>
    <row r="67" spans="1:6" x14ac:dyDescent="0.55000000000000004">
      <c r="A67" s="3">
        <v>65</v>
      </c>
      <c r="B67" s="4" t="s">
        <v>154</v>
      </c>
      <c r="C67" s="5" t="s">
        <v>155</v>
      </c>
      <c r="D67" s="5" t="s">
        <v>25</v>
      </c>
      <c r="E67" s="3">
        <v>12</v>
      </c>
      <c r="F67" s="23">
        <v>12</v>
      </c>
    </row>
    <row r="68" spans="1:6" x14ac:dyDescent="0.55000000000000004">
      <c r="A68" s="3">
        <v>66</v>
      </c>
      <c r="B68" s="4" t="s">
        <v>568</v>
      </c>
      <c r="C68" s="5" t="s">
        <v>584</v>
      </c>
      <c r="D68" s="5" t="s">
        <v>111</v>
      </c>
      <c r="E68" s="3">
        <v>3</v>
      </c>
      <c r="F68" s="23">
        <v>618000</v>
      </c>
    </row>
    <row r="69" spans="1:6" s="11" customFormat="1" ht="19.8" customHeight="1" x14ac:dyDescent="0.55000000000000004">
      <c r="A69" s="32" t="s">
        <v>14</v>
      </c>
      <c r="B69" s="33"/>
      <c r="C69" s="33"/>
      <c r="D69" s="33"/>
      <c r="E69" s="34"/>
      <c r="F69" s="10">
        <f>SUM(F3:F68)</f>
        <v>173379985.57619998</v>
      </c>
    </row>
    <row r="70" spans="1:6" s="11" customFormat="1" x14ac:dyDescent="0.55000000000000004">
      <c r="A70" s="22"/>
      <c r="B70" s="12"/>
      <c r="C70" s="12"/>
      <c r="D70" s="12"/>
      <c r="E70" s="12"/>
      <c r="F70" s="13"/>
    </row>
    <row r="71" spans="1:6" x14ac:dyDescent="0.55000000000000004">
      <c r="A71" s="14"/>
      <c r="B71" s="14"/>
      <c r="C71" s="11"/>
      <c r="D71" s="30" t="s">
        <v>15</v>
      </c>
      <c r="E71" s="30"/>
      <c r="F71" s="30"/>
    </row>
    <row r="72" spans="1:6" x14ac:dyDescent="0.55000000000000004">
      <c r="A72" s="14"/>
      <c r="B72" s="11"/>
      <c r="C72" s="11"/>
      <c r="D72" s="31">
        <v>46266</v>
      </c>
      <c r="E72" s="31"/>
      <c r="F72" s="31"/>
    </row>
    <row r="73" spans="1:6" x14ac:dyDescent="0.55000000000000004">
      <c r="D73" s="26" t="s">
        <v>16</v>
      </c>
      <c r="E73" s="26"/>
      <c r="F73" s="26"/>
    </row>
  </sheetData>
  <mergeCells count="5">
    <mergeCell ref="A69:E69"/>
    <mergeCell ref="D71:F71"/>
    <mergeCell ref="D72:F72"/>
    <mergeCell ref="D73:F73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C040-A3D0-4576-B958-BE5B7BC1F591}">
  <dimension ref="A1:J81"/>
  <sheetViews>
    <sheetView workbookViewId="0">
      <selection sqref="A1:F1"/>
    </sheetView>
  </sheetViews>
  <sheetFormatPr defaultRowHeight="18.600000000000001" x14ac:dyDescent="0.55000000000000004"/>
  <cols>
    <col min="1" max="1" width="5.6640625" style="17" bestFit="1" customWidth="1"/>
    <col min="2" max="2" width="10.33203125" style="16" customWidth="1"/>
    <col min="3" max="3" width="55" style="16" bestFit="1" customWidth="1"/>
    <col min="4" max="4" width="8.109375" style="16" bestFit="1" customWidth="1"/>
    <col min="5" max="5" width="6.5546875" style="17" bestFit="1" customWidth="1"/>
    <col min="6" max="6" width="15" style="18" bestFit="1" customWidth="1"/>
    <col min="7" max="16384" width="8.88671875" style="16"/>
  </cols>
  <sheetData>
    <row r="1" spans="1:10" s="6" customFormat="1" ht="27" customHeight="1" x14ac:dyDescent="0.3">
      <c r="A1" s="27" t="s">
        <v>594</v>
      </c>
      <c r="B1" s="28"/>
      <c r="C1" s="28"/>
      <c r="D1" s="28"/>
      <c r="E1" s="28"/>
      <c r="F1" s="29"/>
    </row>
    <row r="2" spans="1:10" s="8" customFormat="1" ht="21" customHeight="1" x14ac:dyDescent="0.3">
      <c r="A2" s="1" t="s">
        <v>0</v>
      </c>
      <c r="B2" s="2" t="s">
        <v>1</v>
      </c>
      <c r="C2" s="1" t="s">
        <v>2</v>
      </c>
      <c r="D2" s="1" t="s">
        <v>3</v>
      </c>
      <c r="E2" s="7" t="s">
        <v>13</v>
      </c>
      <c r="F2" s="7" t="s">
        <v>12</v>
      </c>
    </row>
    <row r="3" spans="1:10" x14ac:dyDescent="0.55000000000000004">
      <c r="A3" s="3">
        <v>1</v>
      </c>
      <c r="B3" s="4" t="s">
        <v>17</v>
      </c>
      <c r="C3" s="5" t="s">
        <v>18</v>
      </c>
      <c r="D3" s="5" t="s">
        <v>19</v>
      </c>
      <c r="E3" s="3">
        <v>228</v>
      </c>
      <c r="F3" s="23">
        <v>732000</v>
      </c>
    </row>
    <row r="4" spans="1:10" x14ac:dyDescent="0.55000000000000004">
      <c r="A4" s="3">
        <v>2</v>
      </c>
      <c r="B4" s="4" t="s">
        <v>20</v>
      </c>
      <c r="C4" s="5" t="s">
        <v>21</v>
      </c>
      <c r="D4" s="5" t="s">
        <v>22</v>
      </c>
      <c r="E4" s="3">
        <v>4</v>
      </c>
      <c r="F4" s="23">
        <v>584000</v>
      </c>
    </row>
    <row r="5" spans="1:10" x14ac:dyDescent="0.55000000000000004">
      <c r="A5" s="3">
        <v>3</v>
      </c>
      <c r="B5" s="4" t="s">
        <v>556</v>
      </c>
      <c r="C5" s="5" t="s">
        <v>585</v>
      </c>
      <c r="D5" s="5" t="s">
        <v>577</v>
      </c>
      <c r="E5" s="3">
        <v>500</v>
      </c>
      <c r="F5" s="23">
        <v>278000</v>
      </c>
    </row>
    <row r="6" spans="1:10" x14ac:dyDescent="0.55000000000000004">
      <c r="A6" s="3">
        <v>4</v>
      </c>
      <c r="B6" s="4" t="s">
        <v>23</v>
      </c>
      <c r="C6" s="5" t="s">
        <v>24</v>
      </c>
      <c r="D6" s="5" t="s">
        <v>25</v>
      </c>
      <c r="E6" s="3">
        <v>86</v>
      </c>
      <c r="F6" s="23">
        <v>2745000</v>
      </c>
    </row>
    <row r="7" spans="1:10" x14ac:dyDescent="0.55000000000000004">
      <c r="A7" s="3">
        <v>5</v>
      </c>
      <c r="B7" s="4" t="s">
        <v>26</v>
      </c>
      <c r="C7" s="5" t="s">
        <v>27</v>
      </c>
      <c r="D7" s="5" t="s">
        <v>19</v>
      </c>
      <c r="E7" s="3">
        <v>352</v>
      </c>
      <c r="F7" s="23">
        <v>5208000</v>
      </c>
    </row>
    <row r="8" spans="1:10" x14ac:dyDescent="0.55000000000000004">
      <c r="A8" s="3">
        <v>6</v>
      </c>
      <c r="B8" s="4" t="s">
        <v>28</v>
      </c>
      <c r="C8" s="5" t="s">
        <v>29</v>
      </c>
      <c r="D8" s="5" t="s">
        <v>25</v>
      </c>
      <c r="E8" s="3">
        <v>105</v>
      </c>
      <c r="F8" s="23">
        <v>3347999.9994000001</v>
      </c>
    </row>
    <row r="9" spans="1:10" x14ac:dyDescent="0.55000000000000004">
      <c r="A9" s="3">
        <v>7</v>
      </c>
      <c r="B9" s="4" t="s">
        <v>30</v>
      </c>
      <c r="C9" s="5" t="s">
        <v>31</v>
      </c>
      <c r="D9" s="5" t="s">
        <v>25</v>
      </c>
      <c r="E9" s="3">
        <v>2</v>
      </c>
      <c r="F9" s="23">
        <v>22000</v>
      </c>
    </row>
    <row r="10" spans="1:10" x14ac:dyDescent="0.55000000000000004">
      <c r="A10" s="3">
        <v>8</v>
      </c>
      <c r="B10" s="4" t="s">
        <v>32</v>
      </c>
      <c r="C10" s="5" t="s">
        <v>33</v>
      </c>
      <c r="D10" s="5" t="s">
        <v>25</v>
      </c>
      <c r="E10" s="3">
        <v>324</v>
      </c>
      <c r="F10" s="23">
        <v>3444000</v>
      </c>
    </row>
    <row r="11" spans="1:10" s="11" customFormat="1" x14ac:dyDescent="0.55000000000000004">
      <c r="A11" s="3">
        <v>9</v>
      </c>
      <c r="B11" s="4" t="s">
        <v>34</v>
      </c>
      <c r="C11" s="5" t="s">
        <v>35</v>
      </c>
      <c r="D11" s="5" t="s">
        <v>25</v>
      </c>
      <c r="E11" s="3">
        <v>62</v>
      </c>
      <c r="F11" s="23">
        <v>992000</v>
      </c>
    </row>
    <row r="12" spans="1:10" s="11" customFormat="1" x14ac:dyDescent="0.55000000000000004">
      <c r="A12" s="3">
        <v>10</v>
      </c>
      <c r="B12" s="4" t="s">
        <v>36</v>
      </c>
      <c r="C12" s="5" t="s">
        <v>37</v>
      </c>
      <c r="D12" s="5" t="s">
        <v>25</v>
      </c>
      <c r="E12" s="3">
        <v>714</v>
      </c>
      <c r="F12" s="23">
        <v>7596000</v>
      </c>
    </row>
    <row r="13" spans="1:10" s="11" customFormat="1" x14ac:dyDescent="0.55000000000000004">
      <c r="A13" s="3">
        <v>11</v>
      </c>
      <c r="B13" s="4" t="s">
        <v>38</v>
      </c>
      <c r="C13" s="5" t="s">
        <v>39</v>
      </c>
      <c r="D13" s="5" t="s">
        <v>19</v>
      </c>
      <c r="E13" s="3">
        <v>127</v>
      </c>
      <c r="F13" s="23">
        <v>1778000</v>
      </c>
      <c r="J13" s="14"/>
    </row>
    <row r="14" spans="1:10" s="11" customFormat="1" ht="19.8" customHeight="1" x14ac:dyDescent="0.55000000000000004">
      <c r="A14" s="3">
        <v>12</v>
      </c>
      <c r="B14" s="4" t="s">
        <v>40</v>
      </c>
      <c r="C14" s="5" t="s">
        <v>41</v>
      </c>
      <c r="D14" s="5" t="s">
        <v>19</v>
      </c>
      <c r="E14" s="3">
        <v>316</v>
      </c>
      <c r="F14" s="23">
        <v>1187000</v>
      </c>
    </row>
    <row r="15" spans="1:10" s="11" customFormat="1" x14ac:dyDescent="0.55000000000000004">
      <c r="A15" s="3">
        <v>13</v>
      </c>
      <c r="B15" s="4" t="s">
        <v>42</v>
      </c>
      <c r="C15" s="5" t="s">
        <v>43</v>
      </c>
      <c r="D15" s="5" t="s">
        <v>25</v>
      </c>
      <c r="E15" s="3">
        <v>44</v>
      </c>
      <c r="F15" s="23">
        <v>429999.99979999999</v>
      </c>
    </row>
    <row r="16" spans="1:10" x14ac:dyDescent="0.55000000000000004">
      <c r="A16" s="3">
        <v>14</v>
      </c>
      <c r="B16" s="4" t="s">
        <v>516</v>
      </c>
      <c r="C16" s="5" t="s">
        <v>586</v>
      </c>
      <c r="D16" s="5" t="s">
        <v>19</v>
      </c>
      <c r="E16" s="3">
        <v>193</v>
      </c>
      <c r="F16" s="23">
        <v>1239000</v>
      </c>
    </row>
    <row r="17" spans="1:6" x14ac:dyDescent="0.55000000000000004">
      <c r="A17" s="3">
        <v>15</v>
      </c>
      <c r="B17" s="4" t="s">
        <v>44</v>
      </c>
      <c r="C17" s="5" t="s">
        <v>45</v>
      </c>
      <c r="D17" s="5" t="s">
        <v>4</v>
      </c>
      <c r="E17" s="3">
        <v>122</v>
      </c>
      <c r="F17" s="23">
        <v>3274000</v>
      </c>
    </row>
    <row r="18" spans="1:6" x14ac:dyDescent="0.55000000000000004">
      <c r="A18" s="3">
        <v>16</v>
      </c>
      <c r="B18" s="4" t="s">
        <v>46</v>
      </c>
      <c r="C18" s="5" t="s">
        <v>47</v>
      </c>
      <c r="D18" s="5" t="s">
        <v>4</v>
      </c>
      <c r="E18" s="3">
        <v>67</v>
      </c>
      <c r="F18" s="23">
        <v>13534000</v>
      </c>
    </row>
    <row r="19" spans="1:6" x14ac:dyDescent="0.55000000000000004">
      <c r="A19" s="3">
        <v>17</v>
      </c>
      <c r="B19" s="4" t="s">
        <v>48</v>
      </c>
      <c r="C19" s="5" t="s">
        <v>49</v>
      </c>
      <c r="D19" s="5" t="s">
        <v>19</v>
      </c>
      <c r="E19" s="3">
        <v>326</v>
      </c>
      <c r="F19" s="23">
        <v>5942000</v>
      </c>
    </row>
    <row r="20" spans="1:6" x14ac:dyDescent="0.55000000000000004">
      <c r="A20" s="3">
        <v>18</v>
      </c>
      <c r="B20" s="4" t="s">
        <v>50</v>
      </c>
      <c r="C20" s="5" t="s">
        <v>51</v>
      </c>
      <c r="D20" s="5" t="s">
        <v>19</v>
      </c>
      <c r="E20" s="3">
        <v>115</v>
      </c>
      <c r="F20" s="23">
        <v>1355000</v>
      </c>
    </row>
    <row r="21" spans="1:6" x14ac:dyDescent="0.55000000000000004">
      <c r="A21" s="3">
        <v>19</v>
      </c>
      <c r="B21" s="4" t="s">
        <v>52</v>
      </c>
      <c r="C21" s="5" t="s">
        <v>53</v>
      </c>
      <c r="D21" s="5" t="s">
        <v>19</v>
      </c>
      <c r="E21" s="3">
        <v>275</v>
      </c>
      <c r="F21" s="23">
        <v>1596000</v>
      </c>
    </row>
    <row r="22" spans="1:6" x14ac:dyDescent="0.55000000000000004">
      <c r="A22" s="3">
        <v>20</v>
      </c>
      <c r="B22" s="4" t="s">
        <v>528</v>
      </c>
      <c r="C22" s="5" t="s">
        <v>583</v>
      </c>
      <c r="D22" s="5" t="s">
        <v>111</v>
      </c>
      <c r="E22" s="3">
        <v>13</v>
      </c>
      <c r="F22" s="23">
        <v>452000</v>
      </c>
    </row>
    <row r="23" spans="1:6" x14ac:dyDescent="0.55000000000000004">
      <c r="A23" s="3">
        <v>21</v>
      </c>
      <c r="B23" s="4" t="s">
        <v>54</v>
      </c>
      <c r="C23" s="5" t="s">
        <v>55</v>
      </c>
      <c r="D23" s="5" t="s">
        <v>19</v>
      </c>
      <c r="E23" s="3">
        <v>1252</v>
      </c>
      <c r="F23" s="23">
        <v>8647000</v>
      </c>
    </row>
    <row r="24" spans="1:6" x14ac:dyDescent="0.55000000000000004">
      <c r="A24" s="3">
        <v>22</v>
      </c>
      <c r="B24" s="4" t="s">
        <v>56</v>
      </c>
      <c r="C24" s="5" t="s">
        <v>57</v>
      </c>
      <c r="D24" s="5" t="s">
        <v>19</v>
      </c>
      <c r="E24" s="3">
        <v>317</v>
      </c>
      <c r="F24" s="23">
        <v>4101000</v>
      </c>
    </row>
    <row r="25" spans="1:6" x14ac:dyDescent="0.55000000000000004">
      <c r="A25" s="3">
        <v>23</v>
      </c>
      <c r="B25" s="4" t="s">
        <v>58</v>
      </c>
      <c r="C25" s="5" t="s">
        <v>59</v>
      </c>
      <c r="D25" s="5" t="s">
        <v>25</v>
      </c>
      <c r="E25" s="3">
        <v>53</v>
      </c>
      <c r="F25" s="23">
        <v>497999.99839999998</v>
      </c>
    </row>
    <row r="26" spans="1:6" x14ac:dyDescent="0.55000000000000004">
      <c r="A26" s="3">
        <v>24</v>
      </c>
      <c r="B26" s="4" t="s">
        <v>60</v>
      </c>
      <c r="C26" s="5" t="s">
        <v>61</v>
      </c>
      <c r="D26" s="5" t="s">
        <v>19</v>
      </c>
      <c r="E26" s="3">
        <v>949</v>
      </c>
      <c r="F26" s="23">
        <v>11307000</v>
      </c>
    </row>
    <row r="27" spans="1:6" x14ac:dyDescent="0.55000000000000004">
      <c r="A27" s="3">
        <v>25</v>
      </c>
      <c r="B27" s="4" t="s">
        <v>62</v>
      </c>
      <c r="C27" s="5" t="s">
        <v>63</v>
      </c>
      <c r="D27" s="5" t="s">
        <v>25</v>
      </c>
      <c r="E27" s="3">
        <v>99</v>
      </c>
      <c r="F27" s="23">
        <v>1053000</v>
      </c>
    </row>
    <row r="28" spans="1:6" x14ac:dyDescent="0.55000000000000004">
      <c r="A28" s="3">
        <v>26</v>
      </c>
      <c r="B28" s="4" t="s">
        <v>64</v>
      </c>
      <c r="C28" s="5" t="s">
        <v>65</v>
      </c>
      <c r="D28" s="5" t="s">
        <v>66</v>
      </c>
      <c r="E28" s="3">
        <v>2270</v>
      </c>
      <c r="F28" s="23">
        <v>13368000</v>
      </c>
    </row>
    <row r="29" spans="1:6" x14ac:dyDescent="0.55000000000000004">
      <c r="A29" s="3">
        <v>27</v>
      </c>
      <c r="B29" s="4" t="s">
        <v>67</v>
      </c>
      <c r="C29" s="5" t="s">
        <v>68</v>
      </c>
      <c r="D29" s="5" t="s">
        <v>19</v>
      </c>
      <c r="E29" s="3">
        <v>2520</v>
      </c>
      <c r="F29" s="23">
        <v>13230000</v>
      </c>
    </row>
    <row r="30" spans="1:6" x14ac:dyDescent="0.55000000000000004">
      <c r="A30" s="3">
        <v>28</v>
      </c>
      <c r="B30" s="4" t="s">
        <v>69</v>
      </c>
      <c r="C30" s="5" t="s">
        <v>70</v>
      </c>
      <c r="D30" s="5" t="s">
        <v>25</v>
      </c>
      <c r="E30" s="3">
        <v>56</v>
      </c>
      <c r="F30" s="23">
        <v>592000</v>
      </c>
    </row>
    <row r="31" spans="1:6" x14ac:dyDescent="0.55000000000000004">
      <c r="A31" s="3">
        <v>29</v>
      </c>
      <c r="B31" s="4" t="s">
        <v>71</v>
      </c>
      <c r="C31" s="5" t="s">
        <v>72</v>
      </c>
      <c r="D31" s="5" t="s">
        <v>25</v>
      </c>
      <c r="E31" s="3">
        <v>98</v>
      </c>
      <c r="F31" s="23">
        <v>1960000</v>
      </c>
    </row>
    <row r="32" spans="1:6" x14ac:dyDescent="0.55000000000000004">
      <c r="A32" s="3">
        <v>30</v>
      </c>
      <c r="B32" s="4" t="s">
        <v>73</v>
      </c>
      <c r="C32" s="5" t="s">
        <v>74</v>
      </c>
      <c r="D32" s="5" t="s">
        <v>19</v>
      </c>
      <c r="E32" s="3">
        <v>466</v>
      </c>
      <c r="F32" s="23">
        <v>1323000</v>
      </c>
    </row>
    <row r="33" spans="1:6" x14ac:dyDescent="0.55000000000000004">
      <c r="A33" s="3">
        <v>31</v>
      </c>
      <c r="B33" s="4" t="s">
        <v>75</v>
      </c>
      <c r="C33" s="5" t="s">
        <v>76</v>
      </c>
      <c r="D33" s="5" t="s">
        <v>4</v>
      </c>
      <c r="E33" s="3">
        <v>90</v>
      </c>
      <c r="F33" s="23">
        <v>2142000</v>
      </c>
    </row>
    <row r="34" spans="1:6" x14ac:dyDescent="0.55000000000000004">
      <c r="A34" s="3">
        <v>32</v>
      </c>
      <c r="B34" s="4" t="s">
        <v>77</v>
      </c>
      <c r="C34" s="5" t="s">
        <v>78</v>
      </c>
      <c r="D34" s="5" t="s">
        <v>25</v>
      </c>
      <c r="E34" s="3">
        <v>50</v>
      </c>
      <c r="F34" s="23">
        <v>529000</v>
      </c>
    </row>
    <row r="35" spans="1:6" x14ac:dyDescent="0.55000000000000004">
      <c r="A35" s="3">
        <v>33</v>
      </c>
      <c r="B35" s="4" t="s">
        <v>79</v>
      </c>
      <c r="C35" s="5" t="s">
        <v>80</v>
      </c>
      <c r="D35" s="5" t="s">
        <v>4</v>
      </c>
      <c r="E35" s="3">
        <v>26</v>
      </c>
      <c r="F35" s="23">
        <v>5252000</v>
      </c>
    </row>
    <row r="36" spans="1:6" x14ac:dyDescent="0.55000000000000004">
      <c r="A36" s="3">
        <v>34</v>
      </c>
      <c r="B36" s="4" t="s">
        <v>81</v>
      </c>
      <c r="C36" s="5" t="s">
        <v>82</v>
      </c>
      <c r="D36" s="5" t="s">
        <v>25</v>
      </c>
      <c r="E36" s="3">
        <v>64</v>
      </c>
      <c r="F36" s="23">
        <v>1138000.0008</v>
      </c>
    </row>
    <row r="37" spans="1:6" x14ac:dyDescent="0.55000000000000004">
      <c r="A37" s="3">
        <v>35</v>
      </c>
      <c r="B37" s="4" t="s">
        <v>83</v>
      </c>
      <c r="C37" s="5" t="s">
        <v>84</v>
      </c>
      <c r="D37" s="5" t="s">
        <v>25</v>
      </c>
      <c r="E37" s="3">
        <v>21</v>
      </c>
      <c r="F37" s="23">
        <v>819000</v>
      </c>
    </row>
    <row r="38" spans="1:6" x14ac:dyDescent="0.55000000000000004">
      <c r="A38" s="3">
        <v>36</v>
      </c>
      <c r="B38" s="4" t="s">
        <v>85</v>
      </c>
      <c r="C38" s="5" t="s">
        <v>86</v>
      </c>
      <c r="D38" s="5" t="s">
        <v>25</v>
      </c>
      <c r="E38" s="3">
        <v>6</v>
      </c>
      <c r="F38" s="23">
        <v>150000</v>
      </c>
    </row>
    <row r="39" spans="1:6" x14ac:dyDescent="0.55000000000000004">
      <c r="A39" s="3">
        <v>37</v>
      </c>
      <c r="B39" s="4" t="s">
        <v>87</v>
      </c>
      <c r="C39" s="5" t="s">
        <v>88</v>
      </c>
      <c r="D39" s="5" t="s">
        <v>25</v>
      </c>
      <c r="E39" s="3">
        <v>297</v>
      </c>
      <c r="F39" s="23">
        <v>5556999.9941999996</v>
      </c>
    </row>
    <row r="40" spans="1:6" x14ac:dyDescent="0.55000000000000004">
      <c r="A40" s="3">
        <v>38</v>
      </c>
      <c r="B40" s="4" t="s">
        <v>89</v>
      </c>
      <c r="C40" s="5" t="s">
        <v>90</v>
      </c>
      <c r="D40" s="5" t="s">
        <v>19</v>
      </c>
      <c r="E40" s="3">
        <v>164</v>
      </c>
      <c r="F40" s="23">
        <v>3444000</v>
      </c>
    </row>
    <row r="41" spans="1:6" x14ac:dyDescent="0.55000000000000004">
      <c r="A41" s="3">
        <v>39</v>
      </c>
      <c r="B41" s="4" t="s">
        <v>91</v>
      </c>
      <c r="C41" s="5" t="s">
        <v>92</v>
      </c>
      <c r="D41" s="5" t="s">
        <v>25</v>
      </c>
      <c r="E41" s="3">
        <v>6</v>
      </c>
      <c r="F41" s="23">
        <v>120000</v>
      </c>
    </row>
    <row r="42" spans="1:6" x14ac:dyDescent="0.55000000000000004">
      <c r="A42" s="3">
        <v>40</v>
      </c>
      <c r="B42" s="4" t="s">
        <v>93</v>
      </c>
      <c r="C42" s="5" t="s">
        <v>94</v>
      </c>
      <c r="D42" s="5" t="s">
        <v>25</v>
      </c>
      <c r="E42" s="3">
        <v>7</v>
      </c>
      <c r="F42" s="23">
        <v>147000</v>
      </c>
    </row>
    <row r="43" spans="1:6" x14ac:dyDescent="0.55000000000000004">
      <c r="A43" s="3">
        <v>41</v>
      </c>
      <c r="B43" s="4" t="s">
        <v>95</v>
      </c>
      <c r="C43" s="5" t="s">
        <v>96</v>
      </c>
      <c r="D43" s="5" t="s">
        <v>25</v>
      </c>
      <c r="E43" s="3">
        <v>224</v>
      </c>
      <c r="F43" s="23">
        <v>5340000.0036000004</v>
      </c>
    </row>
    <row r="44" spans="1:6" x14ac:dyDescent="0.55000000000000004">
      <c r="A44" s="3">
        <v>42</v>
      </c>
      <c r="B44" s="4" t="s">
        <v>97</v>
      </c>
      <c r="C44" s="5" t="s">
        <v>98</v>
      </c>
      <c r="D44" s="5" t="s">
        <v>25</v>
      </c>
      <c r="E44" s="3">
        <v>77</v>
      </c>
      <c r="F44" s="23">
        <v>2023999.9979999999</v>
      </c>
    </row>
    <row r="45" spans="1:6" x14ac:dyDescent="0.55000000000000004">
      <c r="A45" s="3">
        <v>43</v>
      </c>
      <c r="B45" s="4" t="s">
        <v>99</v>
      </c>
      <c r="C45" s="5" t="s">
        <v>100</v>
      </c>
      <c r="D45" s="5" t="s">
        <v>25</v>
      </c>
      <c r="E45" s="3">
        <v>48</v>
      </c>
      <c r="F45" s="23">
        <v>1776000</v>
      </c>
    </row>
    <row r="46" spans="1:6" x14ac:dyDescent="0.55000000000000004">
      <c r="A46" s="3">
        <v>44</v>
      </c>
      <c r="B46" s="4" t="s">
        <v>101</v>
      </c>
      <c r="C46" s="5" t="s">
        <v>102</v>
      </c>
      <c r="D46" s="5" t="s">
        <v>25</v>
      </c>
      <c r="E46" s="3">
        <v>32</v>
      </c>
      <c r="F46" s="23">
        <v>1472000</v>
      </c>
    </row>
    <row r="47" spans="1:6" x14ac:dyDescent="0.55000000000000004">
      <c r="A47" s="3">
        <v>45</v>
      </c>
      <c r="B47" s="4" t="s">
        <v>103</v>
      </c>
      <c r="C47" s="5" t="s">
        <v>104</v>
      </c>
      <c r="D47" s="5" t="s">
        <v>19</v>
      </c>
      <c r="E47" s="3">
        <v>1037</v>
      </c>
      <c r="F47" s="23">
        <v>14440000</v>
      </c>
    </row>
    <row r="48" spans="1:6" x14ac:dyDescent="0.55000000000000004">
      <c r="A48" s="3">
        <v>46</v>
      </c>
      <c r="B48" s="4" t="s">
        <v>105</v>
      </c>
      <c r="C48" s="5" t="s">
        <v>106</v>
      </c>
      <c r="D48" s="5" t="s">
        <v>19</v>
      </c>
      <c r="E48" s="3">
        <v>357</v>
      </c>
      <c r="F48" s="23">
        <v>3913000</v>
      </c>
    </row>
    <row r="49" spans="1:6" x14ac:dyDescent="0.55000000000000004">
      <c r="A49" s="3">
        <v>47</v>
      </c>
      <c r="B49" s="4" t="s">
        <v>570</v>
      </c>
      <c r="C49" s="5" t="s">
        <v>581</v>
      </c>
      <c r="D49" s="5" t="s">
        <v>25</v>
      </c>
      <c r="E49" s="3">
        <v>14</v>
      </c>
      <c r="F49" s="23">
        <v>397239.03570000001</v>
      </c>
    </row>
    <row r="50" spans="1:6" x14ac:dyDescent="0.55000000000000004">
      <c r="A50" s="3">
        <v>48</v>
      </c>
      <c r="B50" s="4" t="s">
        <v>107</v>
      </c>
      <c r="C50" s="5" t="s">
        <v>108</v>
      </c>
      <c r="D50" s="5" t="s">
        <v>25</v>
      </c>
      <c r="E50" s="3">
        <v>19</v>
      </c>
      <c r="F50" s="23">
        <v>1007000</v>
      </c>
    </row>
    <row r="51" spans="1:6" x14ac:dyDescent="0.55000000000000004">
      <c r="A51" s="3">
        <v>49</v>
      </c>
      <c r="B51" s="4" t="s">
        <v>109</v>
      </c>
      <c r="C51" s="5" t="s">
        <v>110</v>
      </c>
      <c r="D51" s="5" t="s">
        <v>111</v>
      </c>
      <c r="E51" s="3">
        <v>47</v>
      </c>
      <c r="F51" s="23">
        <v>2611000.0005999999</v>
      </c>
    </row>
    <row r="52" spans="1:6" x14ac:dyDescent="0.55000000000000004">
      <c r="A52" s="3">
        <v>50</v>
      </c>
      <c r="B52" s="4" t="s">
        <v>114</v>
      </c>
      <c r="C52" s="5" t="s">
        <v>115</v>
      </c>
      <c r="D52" s="5" t="s">
        <v>25</v>
      </c>
      <c r="E52" s="3">
        <v>16</v>
      </c>
      <c r="F52" s="23">
        <v>720000</v>
      </c>
    </row>
    <row r="53" spans="1:6" x14ac:dyDescent="0.55000000000000004">
      <c r="A53" s="3">
        <v>51</v>
      </c>
      <c r="B53" s="4" t="s">
        <v>116</v>
      </c>
      <c r="C53" s="5" t="s">
        <v>117</v>
      </c>
      <c r="D53" s="5" t="s">
        <v>111</v>
      </c>
      <c r="E53" s="3">
        <v>27</v>
      </c>
      <c r="F53" s="23">
        <v>1890000</v>
      </c>
    </row>
    <row r="54" spans="1:6" x14ac:dyDescent="0.55000000000000004">
      <c r="A54" s="3">
        <v>52</v>
      </c>
      <c r="B54" s="4" t="s">
        <v>118</v>
      </c>
      <c r="C54" s="5" t="s">
        <v>119</v>
      </c>
      <c r="D54" s="5" t="s">
        <v>25</v>
      </c>
      <c r="E54" s="3">
        <v>26</v>
      </c>
      <c r="F54" s="23">
        <v>910000</v>
      </c>
    </row>
    <row r="55" spans="1:6" x14ac:dyDescent="0.55000000000000004">
      <c r="A55" s="3">
        <v>53</v>
      </c>
      <c r="B55" s="4" t="s">
        <v>120</v>
      </c>
      <c r="C55" s="5" t="s">
        <v>121</v>
      </c>
      <c r="D55" s="5" t="s">
        <v>19</v>
      </c>
      <c r="E55" s="3">
        <v>515</v>
      </c>
      <c r="F55" s="23">
        <v>9996000</v>
      </c>
    </row>
    <row r="56" spans="1:6" x14ac:dyDescent="0.55000000000000004">
      <c r="A56" s="3">
        <v>54</v>
      </c>
      <c r="B56" s="4" t="s">
        <v>122</v>
      </c>
      <c r="C56" s="5" t="s">
        <v>123</v>
      </c>
      <c r="D56" s="5" t="s">
        <v>22</v>
      </c>
      <c r="E56" s="3">
        <v>5</v>
      </c>
      <c r="F56" s="23">
        <v>3060000</v>
      </c>
    </row>
    <row r="57" spans="1:6" x14ac:dyDescent="0.55000000000000004">
      <c r="A57" s="3">
        <v>55</v>
      </c>
      <c r="B57" s="4" t="s">
        <v>124</v>
      </c>
      <c r="C57" s="5" t="s">
        <v>125</v>
      </c>
      <c r="D57" s="5" t="s">
        <v>111</v>
      </c>
      <c r="E57" s="3">
        <v>54</v>
      </c>
      <c r="F57" s="23">
        <v>3132000</v>
      </c>
    </row>
    <row r="58" spans="1:6" x14ac:dyDescent="0.55000000000000004">
      <c r="A58" s="3">
        <v>56</v>
      </c>
      <c r="B58" s="4" t="s">
        <v>466</v>
      </c>
      <c r="C58" s="5" t="s">
        <v>587</v>
      </c>
      <c r="D58" s="5" t="s">
        <v>25</v>
      </c>
      <c r="E58" s="3">
        <v>3</v>
      </c>
      <c r="F58" s="23">
        <v>357000</v>
      </c>
    </row>
    <row r="59" spans="1:6" x14ac:dyDescent="0.55000000000000004">
      <c r="A59" s="3">
        <v>57</v>
      </c>
      <c r="B59" s="4" t="s">
        <v>126</v>
      </c>
      <c r="C59" s="5" t="s">
        <v>127</v>
      </c>
      <c r="D59" s="5" t="s">
        <v>19</v>
      </c>
      <c r="E59" s="3">
        <v>156</v>
      </c>
      <c r="F59" s="23">
        <v>1808000</v>
      </c>
    </row>
    <row r="60" spans="1:6" x14ac:dyDescent="0.55000000000000004">
      <c r="A60" s="3">
        <v>58</v>
      </c>
      <c r="B60" s="4" t="s">
        <v>128</v>
      </c>
      <c r="C60" s="5" t="s">
        <v>129</v>
      </c>
      <c r="D60" s="5" t="s">
        <v>4</v>
      </c>
      <c r="E60" s="3">
        <v>72</v>
      </c>
      <c r="F60" s="23">
        <v>12024000</v>
      </c>
    </row>
    <row r="61" spans="1:6" x14ac:dyDescent="0.55000000000000004">
      <c r="A61" s="3">
        <v>59</v>
      </c>
      <c r="B61" s="4" t="s">
        <v>130</v>
      </c>
      <c r="C61" s="5" t="s">
        <v>131</v>
      </c>
      <c r="D61" s="5" t="s">
        <v>5</v>
      </c>
      <c r="E61" s="3">
        <v>386</v>
      </c>
      <c r="F61" s="23">
        <v>4222000.0023999996</v>
      </c>
    </row>
    <row r="62" spans="1:6" x14ac:dyDescent="0.55000000000000004">
      <c r="A62" s="3">
        <v>60</v>
      </c>
      <c r="B62" s="4" t="s">
        <v>132</v>
      </c>
      <c r="C62" s="5" t="s">
        <v>133</v>
      </c>
      <c r="D62" s="5" t="s">
        <v>4</v>
      </c>
      <c r="E62" s="3">
        <v>13</v>
      </c>
      <c r="F62" s="23">
        <v>2717000</v>
      </c>
    </row>
    <row r="63" spans="1:6" x14ac:dyDescent="0.55000000000000004">
      <c r="A63" s="3">
        <v>61</v>
      </c>
      <c r="B63" s="4" t="s">
        <v>134</v>
      </c>
      <c r="C63" s="5" t="s">
        <v>135</v>
      </c>
      <c r="D63" s="5" t="s">
        <v>4</v>
      </c>
      <c r="E63" s="3">
        <v>8</v>
      </c>
      <c r="F63" s="23">
        <v>4560000</v>
      </c>
    </row>
    <row r="64" spans="1:6" x14ac:dyDescent="0.55000000000000004">
      <c r="A64" s="3">
        <v>62</v>
      </c>
      <c r="B64" s="4" t="s">
        <v>136</v>
      </c>
      <c r="C64" s="5" t="s">
        <v>137</v>
      </c>
      <c r="D64" s="5" t="s">
        <v>66</v>
      </c>
      <c r="E64" s="3">
        <v>3</v>
      </c>
      <c r="F64" s="23">
        <v>96000</v>
      </c>
    </row>
    <row r="65" spans="1:6" x14ac:dyDescent="0.55000000000000004">
      <c r="A65" s="3">
        <v>63</v>
      </c>
      <c r="B65" s="4" t="s">
        <v>138</v>
      </c>
      <c r="C65" s="5" t="s">
        <v>139</v>
      </c>
      <c r="D65" s="5" t="s">
        <v>19</v>
      </c>
      <c r="E65" s="3">
        <v>105</v>
      </c>
      <c r="F65" s="23">
        <v>2601000</v>
      </c>
    </row>
    <row r="66" spans="1:6" x14ac:dyDescent="0.55000000000000004">
      <c r="A66" s="3">
        <v>64</v>
      </c>
      <c r="B66" s="4" t="s">
        <v>140</v>
      </c>
      <c r="C66" s="5" t="s">
        <v>141</v>
      </c>
      <c r="D66" s="5" t="s">
        <v>111</v>
      </c>
      <c r="E66" s="3">
        <v>43</v>
      </c>
      <c r="F66" s="23">
        <v>4343000</v>
      </c>
    </row>
    <row r="67" spans="1:6" x14ac:dyDescent="0.55000000000000004">
      <c r="A67" s="3">
        <v>65</v>
      </c>
      <c r="B67" s="4" t="s">
        <v>142</v>
      </c>
      <c r="C67" s="5" t="s">
        <v>143</v>
      </c>
      <c r="D67" s="5" t="s">
        <v>19</v>
      </c>
      <c r="E67" s="3">
        <v>12</v>
      </c>
      <c r="F67" s="23">
        <v>1392000</v>
      </c>
    </row>
    <row r="68" spans="1:6" x14ac:dyDescent="0.55000000000000004">
      <c r="A68" s="3">
        <v>66</v>
      </c>
      <c r="B68" s="4" t="s">
        <v>144</v>
      </c>
      <c r="C68" s="5" t="s">
        <v>145</v>
      </c>
      <c r="D68" s="5" t="s">
        <v>25</v>
      </c>
      <c r="E68" s="3">
        <v>118</v>
      </c>
      <c r="F68" s="23">
        <v>14042000</v>
      </c>
    </row>
    <row r="69" spans="1:6" x14ac:dyDescent="0.55000000000000004">
      <c r="A69" s="3">
        <v>67</v>
      </c>
      <c r="B69" s="4" t="s">
        <v>146</v>
      </c>
      <c r="C69" s="5" t="s">
        <v>147</v>
      </c>
      <c r="D69" s="5" t="s">
        <v>19</v>
      </c>
      <c r="E69" s="3">
        <v>360</v>
      </c>
      <c r="F69" s="23">
        <v>20739000</v>
      </c>
    </row>
    <row r="70" spans="1:6" x14ac:dyDescent="0.55000000000000004">
      <c r="A70" s="3">
        <v>68</v>
      </c>
      <c r="B70" s="4" t="s">
        <v>148</v>
      </c>
      <c r="C70" s="5" t="s">
        <v>149</v>
      </c>
      <c r="D70" s="5" t="s">
        <v>4</v>
      </c>
      <c r="E70" s="3">
        <v>1</v>
      </c>
      <c r="F70" s="23">
        <v>32000</v>
      </c>
    </row>
    <row r="71" spans="1:6" x14ac:dyDescent="0.55000000000000004">
      <c r="A71" s="3">
        <v>69</v>
      </c>
      <c r="B71" s="4" t="s">
        <v>150</v>
      </c>
      <c r="C71" s="5" t="s">
        <v>151</v>
      </c>
      <c r="D71" s="5" t="s">
        <v>25</v>
      </c>
      <c r="E71" s="3">
        <v>12</v>
      </c>
      <c r="F71" s="23">
        <v>144000</v>
      </c>
    </row>
    <row r="72" spans="1:6" x14ac:dyDescent="0.55000000000000004">
      <c r="A72" s="3">
        <v>70</v>
      </c>
      <c r="B72" s="4" t="s">
        <v>152</v>
      </c>
      <c r="C72" s="5" t="s">
        <v>153</v>
      </c>
      <c r="D72" s="5" t="s">
        <v>111</v>
      </c>
      <c r="E72" s="3">
        <v>19</v>
      </c>
      <c r="F72" s="23">
        <v>21</v>
      </c>
    </row>
    <row r="73" spans="1:6" x14ac:dyDescent="0.55000000000000004">
      <c r="A73" s="3">
        <v>71</v>
      </c>
      <c r="B73" s="4" t="s">
        <v>154</v>
      </c>
      <c r="C73" s="5" t="s">
        <v>155</v>
      </c>
      <c r="D73" s="5" t="s">
        <v>25</v>
      </c>
      <c r="E73" s="3">
        <v>8</v>
      </c>
      <c r="F73" s="23">
        <v>8</v>
      </c>
    </row>
    <row r="74" spans="1:6" x14ac:dyDescent="0.55000000000000004">
      <c r="A74" s="3">
        <v>72</v>
      </c>
      <c r="B74" s="4" t="s">
        <v>568</v>
      </c>
      <c r="C74" s="5" t="s">
        <v>584</v>
      </c>
      <c r="D74" s="5" t="s">
        <v>111</v>
      </c>
      <c r="E74" s="3">
        <v>1</v>
      </c>
      <c r="F74" s="23">
        <v>206000</v>
      </c>
    </row>
    <row r="75" spans="1:6" x14ac:dyDescent="0.55000000000000004">
      <c r="A75" s="3">
        <v>73</v>
      </c>
      <c r="B75" s="4" t="s">
        <v>465</v>
      </c>
      <c r="C75" s="5" t="s">
        <v>582</v>
      </c>
      <c r="D75" s="5" t="s">
        <v>25</v>
      </c>
      <c r="E75" s="3">
        <v>2</v>
      </c>
      <c r="F75" s="23">
        <v>106000</v>
      </c>
    </row>
    <row r="76" spans="1:6" x14ac:dyDescent="0.55000000000000004">
      <c r="A76" s="3">
        <v>74</v>
      </c>
      <c r="B76" s="4" t="s">
        <v>478</v>
      </c>
      <c r="C76" s="5" t="s">
        <v>588</v>
      </c>
      <c r="D76" s="5" t="s">
        <v>25</v>
      </c>
      <c r="E76" s="3">
        <v>3</v>
      </c>
      <c r="F76" s="23">
        <v>201000</v>
      </c>
    </row>
    <row r="77" spans="1:6" s="11" customFormat="1" ht="19.8" customHeight="1" x14ac:dyDescent="0.55000000000000004">
      <c r="A77" s="32" t="s">
        <v>14</v>
      </c>
      <c r="B77" s="33"/>
      <c r="C77" s="33"/>
      <c r="D77" s="33"/>
      <c r="E77" s="34"/>
      <c r="F77" s="10">
        <f>SUM(F3:F76)</f>
        <v>253391268.03290001</v>
      </c>
    </row>
    <row r="78" spans="1:6" s="11" customFormat="1" x14ac:dyDescent="0.55000000000000004">
      <c r="A78" s="22"/>
      <c r="B78" s="12"/>
      <c r="C78" s="12"/>
      <c r="D78" s="12"/>
      <c r="E78" s="12"/>
      <c r="F78" s="13"/>
    </row>
    <row r="79" spans="1:6" x14ac:dyDescent="0.55000000000000004">
      <c r="A79" s="14"/>
      <c r="B79" s="14"/>
      <c r="C79" s="11"/>
      <c r="D79" s="30" t="s">
        <v>15</v>
      </c>
      <c r="E79" s="30"/>
      <c r="F79" s="30"/>
    </row>
    <row r="80" spans="1:6" x14ac:dyDescent="0.55000000000000004">
      <c r="A80" s="14"/>
      <c r="B80" s="11"/>
      <c r="C80" s="11"/>
      <c r="D80" s="31">
        <v>46266</v>
      </c>
      <c r="E80" s="31"/>
      <c r="F80" s="31"/>
    </row>
    <row r="81" spans="4:6" x14ac:dyDescent="0.55000000000000004">
      <c r="D81" s="26" t="s">
        <v>16</v>
      </c>
      <c r="E81" s="26"/>
      <c r="F81" s="26"/>
    </row>
  </sheetData>
  <mergeCells count="5">
    <mergeCell ref="D79:F79"/>
    <mergeCell ref="D80:F80"/>
    <mergeCell ref="D81:F81"/>
    <mergeCell ref="A1:F1"/>
    <mergeCell ref="A77:E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13B7-A0F5-454A-976C-01204F8EAFAD}">
  <dimension ref="A1:J76"/>
  <sheetViews>
    <sheetView workbookViewId="0">
      <selection sqref="A1:F1"/>
    </sheetView>
  </sheetViews>
  <sheetFormatPr defaultRowHeight="18.600000000000001" x14ac:dyDescent="0.55000000000000004"/>
  <cols>
    <col min="1" max="1" width="5.6640625" style="17" bestFit="1" customWidth="1"/>
    <col min="2" max="2" width="10.21875" style="16" customWidth="1"/>
    <col min="3" max="3" width="55.44140625" style="16" customWidth="1"/>
    <col min="4" max="4" width="8.109375" style="16" bestFit="1" customWidth="1"/>
    <col min="5" max="5" width="6.5546875" style="17" bestFit="1" customWidth="1"/>
    <col min="6" max="6" width="14" style="18" customWidth="1"/>
    <col min="7" max="16384" width="8.88671875" style="16"/>
  </cols>
  <sheetData>
    <row r="1" spans="1:10" s="6" customFormat="1" ht="27" customHeight="1" x14ac:dyDescent="0.3">
      <c r="A1" s="27" t="s">
        <v>595</v>
      </c>
      <c r="B1" s="28"/>
      <c r="C1" s="28"/>
      <c r="D1" s="28"/>
      <c r="E1" s="28"/>
      <c r="F1" s="29"/>
    </row>
    <row r="2" spans="1:10" s="8" customFormat="1" ht="19.2" customHeight="1" x14ac:dyDescent="0.3">
      <c r="A2" s="1" t="s">
        <v>0</v>
      </c>
      <c r="B2" s="2" t="s">
        <v>1</v>
      </c>
      <c r="C2" s="1" t="s">
        <v>2</v>
      </c>
      <c r="D2" s="1" t="s">
        <v>3</v>
      </c>
      <c r="E2" s="7" t="s">
        <v>13</v>
      </c>
      <c r="F2" s="7" t="s">
        <v>12</v>
      </c>
    </row>
    <row r="3" spans="1:10" x14ac:dyDescent="0.55000000000000004">
      <c r="A3" s="3">
        <v>1</v>
      </c>
      <c r="B3" s="4" t="s">
        <v>17</v>
      </c>
      <c r="C3" s="5" t="s">
        <v>18</v>
      </c>
      <c r="D3" s="5" t="s">
        <v>19</v>
      </c>
      <c r="E3" s="3">
        <v>6</v>
      </c>
      <c r="F3" s="23">
        <v>24000</v>
      </c>
    </row>
    <row r="4" spans="1:10" x14ac:dyDescent="0.55000000000000004">
      <c r="A4" s="3">
        <v>2</v>
      </c>
      <c r="B4" s="4" t="s">
        <v>26</v>
      </c>
      <c r="C4" s="5" t="s">
        <v>27</v>
      </c>
      <c r="D4" s="5" t="s">
        <v>19</v>
      </c>
      <c r="E4" s="3">
        <v>42</v>
      </c>
      <c r="F4" s="23">
        <v>626000</v>
      </c>
    </row>
    <row r="5" spans="1:10" x14ac:dyDescent="0.55000000000000004">
      <c r="A5" s="3">
        <v>3</v>
      </c>
      <c r="B5" s="4" t="s">
        <v>28</v>
      </c>
      <c r="C5" s="5" t="s">
        <v>29</v>
      </c>
      <c r="D5" s="5" t="s">
        <v>25</v>
      </c>
      <c r="E5" s="3">
        <v>23</v>
      </c>
      <c r="F5" s="23">
        <v>736000</v>
      </c>
    </row>
    <row r="6" spans="1:10" x14ac:dyDescent="0.55000000000000004">
      <c r="A6" s="3">
        <v>4</v>
      </c>
      <c r="B6" s="4" t="s">
        <v>30</v>
      </c>
      <c r="C6" s="5" t="s">
        <v>31</v>
      </c>
      <c r="D6" s="5" t="s">
        <v>25</v>
      </c>
      <c r="E6" s="3">
        <v>4</v>
      </c>
      <c r="F6" s="23">
        <v>44000</v>
      </c>
    </row>
    <row r="7" spans="1:10" x14ac:dyDescent="0.55000000000000004">
      <c r="A7" s="3">
        <v>5</v>
      </c>
      <c r="B7" s="4" t="s">
        <v>32</v>
      </c>
      <c r="C7" s="5" t="s">
        <v>33</v>
      </c>
      <c r="D7" s="5" t="s">
        <v>25</v>
      </c>
      <c r="E7" s="3">
        <v>140</v>
      </c>
      <c r="F7" s="23">
        <v>1492000</v>
      </c>
    </row>
    <row r="8" spans="1:10" x14ac:dyDescent="0.55000000000000004">
      <c r="A8" s="3">
        <v>6</v>
      </c>
      <c r="B8" s="4" t="s">
        <v>34</v>
      </c>
      <c r="C8" s="5" t="s">
        <v>35</v>
      </c>
      <c r="D8" s="5" t="s">
        <v>25</v>
      </c>
      <c r="E8" s="3">
        <v>2</v>
      </c>
      <c r="F8" s="23">
        <v>32000</v>
      </c>
    </row>
    <row r="9" spans="1:10" s="11" customFormat="1" x14ac:dyDescent="0.55000000000000004">
      <c r="A9" s="3">
        <v>7</v>
      </c>
      <c r="B9" s="4" t="s">
        <v>36</v>
      </c>
      <c r="C9" s="5" t="s">
        <v>37</v>
      </c>
      <c r="D9" s="5" t="s">
        <v>25</v>
      </c>
      <c r="E9" s="3">
        <v>455</v>
      </c>
      <c r="F9" s="23">
        <v>4843000</v>
      </c>
    </row>
    <row r="10" spans="1:10" s="11" customFormat="1" x14ac:dyDescent="0.55000000000000004">
      <c r="A10" s="3">
        <v>8</v>
      </c>
      <c r="B10" s="4" t="s">
        <v>38</v>
      </c>
      <c r="C10" s="5" t="s">
        <v>39</v>
      </c>
      <c r="D10" s="5" t="s">
        <v>19</v>
      </c>
      <c r="E10" s="3">
        <v>41</v>
      </c>
      <c r="F10" s="23">
        <v>574000</v>
      </c>
      <c r="J10" s="14"/>
    </row>
    <row r="11" spans="1:10" s="11" customFormat="1" x14ac:dyDescent="0.55000000000000004">
      <c r="A11" s="3">
        <v>9</v>
      </c>
      <c r="B11" s="4" t="s">
        <v>40</v>
      </c>
      <c r="C11" s="5" t="s">
        <v>41</v>
      </c>
      <c r="D11" s="5" t="s">
        <v>19</v>
      </c>
      <c r="E11" s="3">
        <v>99</v>
      </c>
      <c r="F11" s="23">
        <v>381000</v>
      </c>
    </row>
    <row r="12" spans="1:10" s="11" customFormat="1" x14ac:dyDescent="0.55000000000000004">
      <c r="A12" s="3">
        <v>10</v>
      </c>
      <c r="B12" s="4" t="s">
        <v>516</v>
      </c>
      <c r="C12" s="5" t="s">
        <v>586</v>
      </c>
      <c r="D12" s="5" t="s">
        <v>19</v>
      </c>
      <c r="E12" s="3">
        <v>7</v>
      </c>
      <c r="F12" s="23">
        <v>49000</v>
      </c>
    </row>
    <row r="13" spans="1:10" s="11" customFormat="1" x14ac:dyDescent="0.55000000000000004">
      <c r="A13" s="3">
        <v>11</v>
      </c>
      <c r="B13" s="4" t="s">
        <v>44</v>
      </c>
      <c r="C13" s="5" t="s">
        <v>45</v>
      </c>
      <c r="D13" s="5" t="s">
        <v>4</v>
      </c>
      <c r="E13" s="3">
        <v>76</v>
      </c>
      <c r="F13" s="23">
        <v>2052000</v>
      </c>
      <c r="J13" s="14"/>
    </row>
    <row r="14" spans="1:10" s="11" customFormat="1" ht="19.8" customHeight="1" x14ac:dyDescent="0.55000000000000004">
      <c r="A14" s="3">
        <v>12</v>
      </c>
      <c r="B14" s="4" t="s">
        <v>46</v>
      </c>
      <c r="C14" s="5" t="s">
        <v>47</v>
      </c>
      <c r="D14" s="5" t="s">
        <v>4</v>
      </c>
      <c r="E14" s="3">
        <v>31</v>
      </c>
      <c r="F14" s="23">
        <v>6262000</v>
      </c>
    </row>
    <row r="15" spans="1:10" s="11" customFormat="1" x14ac:dyDescent="0.55000000000000004">
      <c r="A15" s="3">
        <v>13</v>
      </c>
      <c r="B15" s="4" t="s">
        <v>48</v>
      </c>
      <c r="C15" s="5" t="s">
        <v>49</v>
      </c>
      <c r="D15" s="5" t="s">
        <v>19</v>
      </c>
      <c r="E15" s="3">
        <v>232</v>
      </c>
      <c r="F15" s="23">
        <v>4264000</v>
      </c>
    </row>
    <row r="16" spans="1:10" x14ac:dyDescent="0.55000000000000004">
      <c r="A16" s="3">
        <v>14</v>
      </c>
      <c r="B16" s="4" t="s">
        <v>50</v>
      </c>
      <c r="C16" s="5" t="s">
        <v>51</v>
      </c>
      <c r="D16" s="5" t="s">
        <v>19</v>
      </c>
      <c r="E16" s="3">
        <v>36</v>
      </c>
      <c r="F16" s="23">
        <v>422000</v>
      </c>
    </row>
    <row r="17" spans="1:6" x14ac:dyDescent="0.55000000000000004">
      <c r="A17" s="3">
        <v>15</v>
      </c>
      <c r="B17" s="4" t="s">
        <v>52</v>
      </c>
      <c r="C17" s="5" t="s">
        <v>53</v>
      </c>
      <c r="D17" s="5" t="s">
        <v>19</v>
      </c>
      <c r="E17" s="3">
        <v>138</v>
      </c>
      <c r="F17" s="23">
        <v>807000</v>
      </c>
    </row>
    <row r="18" spans="1:6" x14ac:dyDescent="0.55000000000000004">
      <c r="A18" s="3">
        <v>16</v>
      </c>
      <c r="B18" s="4" t="s">
        <v>528</v>
      </c>
      <c r="C18" s="5" t="s">
        <v>583</v>
      </c>
      <c r="D18" s="5" t="s">
        <v>111</v>
      </c>
      <c r="E18" s="3">
        <v>4</v>
      </c>
      <c r="F18" s="23">
        <v>140000</v>
      </c>
    </row>
    <row r="19" spans="1:6" x14ac:dyDescent="0.55000000000000004">
      <c r="A19" s="3">
        <v>17</v>
      </c>
      <c r="B19" s="4" t="s">
        <v>54</v>
      </c>
      <c r="C19" s="5" t="s">
        <v>55</v>
      </c>
      <c r="D19" s="5" t="s">
        <v>19</v>
      </c>
      <c r="E19" s="3">
        <v>262</v>
      </c>
      <c r="F19" s="23">
        <v>1820000</v>
      </c>
    </row>
    <row r="20" spans="1:6" x14ac:dyDescent="0.55000000000000004">
      <c r="A20" s="3">
        <v>18</v>
      </c>
      <c r="B20" s="4" t="s">
        <v>56</v>
      </c>
      <c r="C20" s="5" t="s">
        <v>57</v>
      </c>
      <c r="D20" s="5" t="s">
        <v>19</v>
      </c>
      <c r="E20" s="3">
        <v>53</v>
      </c>
      <c r="F20" s="23">
        <v>689000</v>
      </c>
    </row>
    <row r="21" spans="1:6" x14ac:dyDescent="0.55000000000000004">
      <c r="A21" s="3">
        <v>19</v>
      </c>
      <c r="B21" s="4" t="s">
        <v>58</v>
      </c>
      <c r="C21" s="5" t="s">
        <v>59</v>
      </c>
      <c r="D21" s="5" t="s">
        <v>25</v>
      </c>
      <c r="E21" s="3">
        <v>20</v>
      </c>
      <c r="F21" s="23">
        <v>191999.99960000001</v>
      </c>
    </row>
    <row r="22" spans="1:6" x14ac:dyDescent="0.55000000000000004">
      <c r="A22" s="3">
        <v>20</v>
      </c>
      <c r="B22" s="4" t="s">
        <v>60</v>
      </c>
      <c r="C22" s="5" t="s">
        <v>61</v>
      </c>
      <c r="D22" s="5" t="s">
        <v>19</v>
      </c>
      <c r="E22" s="3">
        <v>253</v>
      </c>
      <c r="F22" s="23">
        <v>3020000</v>
      </c>
    </row>
    <row r="23" spans="1:6" x14ac:dyDescent="0.55000000000000004">
      <c r="A23" s="3">
        <v>21</v>
      </c>
      <c r="B23" s="4" t="s">
        <v>62</v>
      </c>
      <c r="C23" s="5" t="s">
        <v>63</v>
      </c>
      <c r="D23" s="5" t="s">
        <v>25</v>
      </c>
      <c r="E23" s="3">
        <v>54</v>
      </c>
      <c r="F23" s="23">
        <v>576000</v>
      </c>
    </row>
    <row r="24" spans="1:6" x14ac:dyDescent="0.55000000000000004">
      <c r="A24" s="3">
        <v>22</v>
      </c>
      <c r="B24" s="4" t="s">
        <v>64</v>
      </c>
      <c r="C24" s="5" t="s">
        <v>65</v>
      </c>
      <c r="D24" s="5" t="s">
        <v>66</v>
      </c>
      <c r="E24" s="3">
        <v>810</v>
      </c>
      <c r="F24" s="23">
        <v>4830000</v>
      </c>
    </row>
    <row r="25" spans="1:6" x14ac:dyDescent="0.55000000000000004">
      <c r="A25" s="3">
        <v>23</v>
      </c>
      <c r="B25" s="4" t="s">
        <v>67</v>
      </c>
      <c r="C25" s="5" t="s">
        <v>68</v>
      </c>
      <c r="D25" s="5" t="s">
        <v>19</v>
      </c>
      <c r="E25" s="3">
        <v>1017</v>
      </c>
      <c r="F25" s="23">
        <v>5490000</v>
      </c>
    </row>
    <row r="26" spans="1:6" x14ac:dyDescent="0.55000000000000004">
      <c r="A26" s="3">
        <v>24</v>
      </c>
      <c r="B26" s="4" t="s">
        <v>69</v>
      </c>
      <c r="C26" s="5" t="s">
        <v>70</v>
      </c>
      <c r="D26" s="5" t="s">
        <v>25</v>
      </c>
      <c r="E26" s="3">
        <v>12</v>
      </c>
      <c r="F26" s="23">
        <v>126000</v>
      </c>
    </row>
    <row r="27" spans="1:6" x14ac:dyDescent="0.55000000000000004">
      <c r="A27" s="3">
        <v>25</v>
      </c>
      <c r="B27" s="4" t="s">
        <v>71</v>
      </c>
      <c r="C27" s="5" t="s">
        <v>72</v>
      </c>
      <c r="D27" s="5" t="s">
        <v>25</v>
      </c>
      <c r="E27" s="3">
        <v>30</v>
      </c>
      <c r="F27" s="23">
        <v>600000</v>
      </c>
    </row>
    <row r="28" spans="1:6" x14ac:dyDescent="0.55000000000000004">
      <c r="A28" s="3">
        <v>26</v>
      </c>
      <c r="B28" s="4" t="s">
        <v>73</v>
      </c>
      <c r="C28" s="5" t="s">
        <v>74</v>
      </c>
      <c r="D28" s="5" t="s">
        <v>19</v>
      </c>
      <c r="E28" s="3">
        <v>208</v>
      </c>
      <c r="F28" s="23">
        <v>589000</v>
      </c>
    </row>
    <row r="29" spans="1:6" x14ac:dyDescent="0.55000000000000004">
      <c r="A29" s="3">
        <v>27</v>
      </c>
      <c r="B29" s="4" t="s">
        <v>75</v>
      </c>
      <c r="C29" s="5" t="s">
        <v>76</v>
      </c>
      <c r="D29" s="5" t="s">
        <v>4</v>
      </c>
      <c r="E29" s="3">
        <v>42</v>
      </c>
      <c r="F29" s="23">
        <v>1002000</v>
      </c>
    </row>
    <row r="30" spans="1:6" x14ac:dyDescent="0.55000000000000004">
      <c r="A30" s="3">
        <v>28</v>
      </c>
      <c r="B30" s="4" t="s">
        <v>77</v>
      </c>
      <c r="C30" s="5" t="s">
        <v>78</v>
      </c>
      <c r="D30" s="5" t="s">
        <v>25</v>
      </c>
      <c r="E30" s="3">
        <v>2</v>
      </c>
      <c r="F30" s="23">
        <v>22000</v>
      </c>
    </row>
    <row r="31" spans="1:6" x14ac:dyDescent="0.55000000000000004">
      <c r="A31" s="3">
        <v>29</v>
      </c>
      <c r="B31" s="4" t="s">
        <v>79</v>
      </c>
      <c r="C31" s="5" t="s">
        <v>80</v>
      </c>
      <c r="D31" s="5" t="s">
        <v>4</v>
      </c>
      <c r="E31" s="3">
        <v>6</v>
      </c>
      <c r="F31" s="23">
        <v>1212000</v>
      </c>
    </row>
    <row r="32" spans="1:6" x14ac:dyDescent="0.55000000000000004">
      <c r="A32" s="3">
        <v>30</v>
      </c>
      <c r="B32" s="4" t="s">
        <v>81</v>
      </c>
      <c r="C32" s="5" t="s">
        <v>82</v>
      </c>
      <c r="D32" s="5" t="s">
        <v>25</v>
      </c>
      <c r="E32" s="3">
        <v>35</v>
      </c>
      <c r="F32" s="23">
        <v>623000.00040000002</v>
      </c>
    </row>
    <row r="33" spans="1:6" x14ac:dyDescent="0.55000000000000004">
      <c r="A33" s="3">
        <v>31</v>
      </c>
      <c r="B33" s="4" t="s">
        <v>83</v>
      </c>
      <c r="C33" s="5" t="s">
        <v>84</v>
      </c>
      <c r="D33" s="5" t="s">
        <v>25</v>
      </c>
      <c r="E33" s="3">
        <v>4</v>
      </c>
      <c r="F33" s="23">
        <v>156000</v>
      </c>
    </row>
    <row r="34" spans="1:6" x14ac:dyDescent="0.55000000000000004">
      <c r="A34" s="3">
        <v>32</v>
      </c>
      <c r="B34" s="4" t="s">
        <v>85</v>
      </c>
      <c r="C34" s="5" t="s">
        <v>86</v>
      </c>
      <c r="D34" s="5" t="s">
        <v>25</v>
      </c>
      <c r="E34" s="3">
        <v>4</v>
      </c>
      <c r="F34" s="23">
        <v>100761.4213</v>
      </c>
    </row>
    <row r="35" spans="1:6" x14ac:dyDescent="0.55000000000000004">
      <c r="A35" s="3">
        <v>33</v>
      </c>
      <c r="B35" s="4" t="s">
        <v>87</v>
      </c>
      <c r="C35" s="5" t="s">
        <v>88</v>
      </c>
      <c r="D35" s="5" t="s">
        <v>25</v>
      </c>
      <c r="E35" s="3">
        <v>134</v>
      </c>
      <c r="F35" s="23">
        <v>2511999.9980000001</v>
      </c>
    </row>
    <row r="36" spans="1:6" x14ac:dyDescent="0.55000000000000004">
      <c r="A36" s="3">
        <v>34</v>
      </c>
      <c r="B36" s="4" t="s">
        <v>89</v>
      </c>
      <c r="C36" s="5" t="s">
        <v>90</v>
      </c>
      <c r="D36" s="5" t="s">
        <v>19</v>
      </c>
      <c r="E36" s="3">
        <v>60</v>
      </c>
      <c r="F36" s="23">
        <v>1260000</v>
      </c>
    </row>
    <row r="37" spans="1:6" x14ac:dyDescent="0.55000000000000004">
      <c r="A37" s="3">
        <v>35</v>
      </c>
      <c r="B37" s="4" t="s">
        <v>91</v>
      </c>
      <c r="C37" s="5" t="s">
        <v>92</v>
      </c>
      <c r="D37" s="5" t="s">
        <v>25</v>
      </c>
      <c r="E37" s="3">
        <v>8</v>
      </c>
      <c r="F37" s="23">
        <v>160000</v>
      </c>
    </row>
    <row r="38" spans="1:6" x14ac:dyDescent="0.55000000000000004">
      <c r="A38" s="3">
        <v>36</v>
      </c>
      <c r="B38" s="4" t="s">
        <v>93</v>
      </c>
      <c r="C38" s="5" t="s">
        <v>94</v>
      </c>
      <c r="D38" s="5" t="s">
        <v>25</v>
      </c>
      <c r="E38" s="3">
        <v>12</v>
      </c>
      <c r="F38" s="23">
        <v>242000.00039999999</v>
      </c>
    </row>
    <row r="39" spans="1:6" x14ac:dyDescent="0.55000000000000004">
      <c r="A39" s="3">
        <v>37</v>
      </c>
      <c r="B39" s="4" t="s">
        <v>95</v>
      </c>
      <c r="C39" s="5" t="s">
        <v>96</v>
      </c>
      <c r="D39" s="5" t="s">
        <v>25</v>
      </c>
      <c r="E39" s="3">
        <v>140</v>
      </c>
      <c r="F39" s="23">
        <v>3340000.0019999999</v>
      </c>
    </row>
    <row r="40" spans="1:6" x14ac:dyDescent="0.55000000000000004">
      <c r="A40" s="3">
        <v>38</v>
      </c>
      <c r="B40" s="4" t="s">
        <v>97</v>
      </c>
      <c r="C40" s="5" t="s">
        <v>98</v>
      </c>
      <c r="D40" s="5" t="s">
        <v>25</v>
      </c>
      <c r="E40" s="3">
        <v>49</v>
      </c>
      <c r="F40" s="23">
        <v>1289999.9987999999</v>
      </c>
    </row>
    <row r="41" spans="1:6" x14ac:dyDescent="0.55000000000000004">
      <c r="A41" s="3">
        <v>39</v>
      </c>
      <c r="B41" s="4" t="s">
        <v>99</v>
      </c>
      <c r="C41" s="5" t="s">
        <v>100</v>
      </c>
      <c r="D41" s="5" t="s">
        <v>25</v>
      </c>
      <c r="E41" s="3">
        <v>6</v>
      </c>
      <c r="F41" s="23">
        <v>222000</v>
      </c>
    </row>
    <row r="42" spans="1:6" x14ac:dyDescent="0.55000000000000004">
      <c r="A42" s="3">
        <v>40</v>
      </c>
      <c r="B42" s="4" t="s">
        <v>101</v>
      </c>
      <c r="C42" s="5" t="s">
        <v>102</v>
      </c>
      <c r="D42" s="5" t="s">
        <v>25</v>
      </c>
      <c r="E42" s="3">
        <v>7</v>
      </c>
      <c r="F42" s="23">
        <v>322000</v>
      </c>
    </row>
    <row r="43" spans="1:6" x14ac:dyDescent="0.55000000000000004">
      <c r="A43" s="3">
        <v>41</v>
      </c>
      <c r="B43" s="4" t="s">
        <v>103</v>
      </c>
      <c r="C43" s="5" t="s">
        <v>104</v>
      </c>
      <c r="D43" s="5" t="s">
        <v>19</v>
      </c>
      <c r="E43" s="3">
        <v>456</v>
      </c>
      <c r="F43" s="23">
        <v>6351000</v>
      </c>
    </row>
    <row r="44" spans="1:6" x14ac:dyDescent="0.55000000000000004">
      <c r="A44" s="3">
        <v>42</v>
      </c>
      <c r="B44" s="4" t="s">
        <v>105</v>
      </c>
      <c r="C44" s="5" t="s">
        <v>106</v>
      </c>
      <c r="D44" s="5" t="s">
        <v>19</v>
      </c>
      <c r="E44" s="3">
        <v>142</v>
      </c>
      <c r="F44" s="23">
        <v>1555000</v>
      </c>
    </row>
    <row r="45" spans="1:6" x14ac:dyDescent="0.55000000000000004">
      <c r="A45" s="3">
        <v>43</v>
      </c>
      <c r="B45" s="4" t="s">
        <v>570</v>
      </c>
      <c r="C45" s="5" t="s">
        <v>581</v>
      </c>
      <c r="D45" s="5" t="s">
        <v>25</v>
      </c>
      <c r="E45" s="3">
        <v>2</v>
      </c>
      <c r="F45" s="23">
        <v>56000</v>
      </c>
    </row>
    <row r="46" spans="1:6" x14ac:dyDescent="0.55000000000000004">
      <c r="A46" s="3">
        <v>44</v>
      </c>
      <c r="B46" s="4" t="s">
        <v>107</v>
      </c>
      <c r="C46" s="5" t="s">
        <v>108</v>
      </c>
      <c r="D46" s="5" t="s">
        <v>25</v>
      </c>
      <c r="E46" s="3">
        <v>3</v>
      </c>
      <c r="F46" s="23">
        <v>159000</v>
      </c>
    </row>
    <row r="47" spans="1:6" x14ac:dyDescent="0.55000000000000004">
      <c r="A47" s="3">
        <v>45</v>
      </c>
      <c r="B47" s="4" t="s">
        <v>109</v>
      </c>
      <c r="C47" s="5" t="s">
        <v>110</v>
      </c>
      <c r="D47" s="5" t="s">
        <v>111</v>
      </c>
      <c r="E47" s="3">
        <v>23</v>
      </c>
      <c r="F47" s="23">
        <v>1288000</v>
      </c>
    </row>
    <row r="48" spans="1:6" x14ac:dyDescent="0.55000000000000004">
      <c r="A48" s="3">
        <v>46</v>
      </c>
      <c r="B48" s="4" t="s">
        <v>112</v>
      </c>
      <c r="C48" s="5" t="s">
        <v>113</v>
      </c>
      <c r="D48" s="5" t="s">
        <v>25</v>
      </c>
      <c r="E48" s="3">
        <v>19</v>
      </c>
      <c r="F48" s="23">
        <v>442661.53840000002</v>
      </c>
    </row>
    <row r="49" spans="1:6" x14ac:dyDescent="0.55000000000000004">
      <c r="A49" s="3">
        <v>47</v>
      </c>
      <c r="B49" s="4" t="s">
        <v>114</v>
      </c>
      <c r="C49" s="5" t="s">
        <v>115</v>
      </c>
      <c r="D49" s="5" t="s">
        <v>25</v>
      </c>
      <c r="E49" s="3">
        <v>10</v>
      </c>
      <c r="F49" s="23">
        <v>450000</v>
      </c>
    </row>
    <row r="50" spans="1:6" x14ac:dyDescent="0.55000000000000004">
      <c r="A50" s="3">
        <v>48</v>
      </c>
      <c r="B50" s="4" t="s">
        <v>116</v>
      </c>
      <c r="C50" s="5" t="s">
        <v>117</v>
      </c>
      <c r="D50" s="5" t="s">
        <v>111</v>
      </c>
      <c r="E50" s="3">
        <v>7</v>
      </c>
      <c r="F50" s="23">
        <v>490000</v>
      </c>
    </row>
    <row r="51" spans="1:6" x14ac:dyDescent="0.55000000000000004">
      <c r="A51" s="3">
        <v>49</v>
      </c>
      <c r="B51" s="4" t="s">
        <v>118</v>
      </c>
      <c r="C51" s="5" t="s">
        <v>119</v>
      </c>
      <c r="D51" s="5" t="s">
        <v>25</v>
      </c>
      <c r="E51" s="3">
        <v>10</v>
      </c>
      <c r="F51" s="23">
        <v>350000</v>
      </c>
    </row>
    <row r="52" spans="1:6" x14ac:dyDescent="0.55000000000000004">
      <c r="A52" s="3">
        <v>50</v>
      </c>
      <c r="B52" s="4" t="s">
        <v>120</v>
      </c>
      <c r="C52" s="5" t="s">
        <v>121</v>
      </c>
      <c r="D52" s="5" t="s">
        <v>19</v>
      </c>
      <c r="E52" s="3">
        <v>136</v>
      </c>
      <c r="F52" s="23">
        <v>2696000</v>
      </c>
    </row>
    <row r="53" spans="1:6" x14ac:dyDescent="0.55000000000000004">
      <c r="A53" s="3">
        <v>51</v>
      </c>
      <c r="B53" s="4" t="s">
        <v>122</v>
      </c>
      <c r="C53" s="5" t="s">
        <v>123</v>
      </c>
      <c r="D53" s="5" t="s">
        <v>22</v>
      </c>
      <c r="E53" s="3">
        <v>1</v>
      </c>
      <c r="F53" s="23">
        <v>612000</v>
      </c>
    </row>
    <row r="54" spans="1:6" x14ac:dyDescent="0.55000000000000004">
      <c r="A54" s="3">
        <v>52</v>
      </c>
      <c r="B54" s="4" t="s">
        <v>124</v>
      </c>
      <c r="C54" s="5" t="s">
        <v>125</v>
      </c>
      <c r="D54" s="5" t="s">
        <v>111</v>
      </c>
      <c r="E54" s="3">
        <v>23</v>
      </c>
      <c r="F54" s="23">
        <v>1334000</v>
      </c>
    </row>
    <row r="55" spans="1:6" x14ac:dyDescent="0.55000000000000004">
      <c r="A55" s="3">
        <v>53</v>
      </c>
      <c r="B55" s="4" t="s">
        <v>466</v>
      </c>
      <c r="C55" s="5" t="s">
        <v>587</v>
      </c>
      <c r="D55" s="5" t="s">
        <v>25</v>
      </c>
      <c r="E55" s="3">
        <v>11</v>
      </c>
      <c r="F55" s="23">
        <v>1309000</v>
      </c>
    </row>
    <row r="56" spans="1:6" x14ac:dyDescent="0.55000000000000004">
      <c r="A56" s="3">
        <v>54</v>
      </c>
      <c r="B56" s="4" t="s">
        <v>126</v>
      </c>
      <c r="C56" s="5" t="s">
        <v>127</v>
      </c>
      <c r="D56" s="5" t="s">
        <v>19</v>
      </c>
      <c r="E56" s="3">
        <v>59</v>
      </c>
      <c r="F56" s="23">
        <v>708000</v>
      </c>
    </row>
    <row r="57" spans="1:6" x14ac:dyDescent="0.55000000000000004">
      <c r="A57" s="3">
        <v>55</v>
      </c>
      <c r="B57" s="4" t="s">
        <v>128</v>
      </c>
      <c r="C57" s="5" t="s">
        <v>129</v>
      </c>
      <c r="D57" s="5" t="s">
        <v>4</v>
      </c>
      <c r="E57" s="3">
        <v>20</v>
      </c>
      <c r="F57" s="23">
        <v>3340000</v>
      </c>
    </row>
    <row r="58" spans="1:6" x14ac:dyDescent="0.55000000000000004">
      <c r="A58" s="3">
        <v>56</v>
      </c>
      <c r="B58" s="4" t="s">
        <v>130</v>
      </c>
      <c r="C58" s="5" t="s">
        <v>131</v>
      </c>
      <c r="D58" s="5" t="s">
        <v>5</v>
      </c>
      <c r="E58" s="3">
        <v>172</v>
      </c>
      <c r="F58" s="23">
        <v>1882000.0004</v>
      </c>
    </row>
    <row r="59" spans="1:6" x14ac:dyDescent="0.55000000000000004">
      <c r="A59" s="3">
        <v>57</v>
      </c>
      <c r="B59" s="4" t="s">
        <v>132</v>
      </c>
      <c r="C59" s="5" t="s">
        <v>133</v>
      </c>
      <c r="D59" s="5" t="s">
        <v>4</v>
      </c>
      <c r="E59" s="3">
        <v>7</v>
      </c>
      <c r="F59" s="23">
        <v>1463000</v>
      </c>
    </row>
    <row r="60" spans="1:6" x14ac:dyDescent="0.55000000000000004">
      <c r="A60" s="3">
        <v>58</v>
      </c>
      <c r="B60" s="4" t="s">
        <v>134</v>
      </c>
      <c r="C60" s="5" t="s">
        <v>135</v>
      </c>
      <c r="D60" s="5" t="s">
        <v>4</v>
      </c>
      <c r="E60" s="3">
        <v>3</v>
      </c>
      <c r="F60" s="23">
        <v>1710000</v>
      </c>
    </row>
    <row r="61" spans="1:6" x14ac:dyDescent="0.55000000000000004">
      <c r="A61" s="3">
        <v>59</v>
      </c>
      <c r="B61" s="4" t="s">
        <v>136</v>
      </c>
      <c r="C61" s="5" t="s">
        <v>137</v>
      </c>
      <c r="D61" s="5" t="s">
        <v>66</v>
      </c>
      <c r="E61" s="3">
        <v>18</v>
      </c>
      <c r="F61" s="23">
        <v>576000</v>
      </c>
    </row>
    <row r="62" spans="1:6" x14ac:dyDescent="0.55000000000000004">
      <c r="A62" s="3">
        <v>60</v>
      </c>
      <c r="B62" s="4" t="s">
        <v>138</v>
      </c>
      <c r="C62" s="5" t="s">
        <v>139</v>
      </c>
      <c r="D62" s="5" t="s">
        <v>19</v>
      </c>
      <c r="E62" s="3">
        <v>17</v>
      </c>
      <c r="F62" s="23">
        <v>419000</v>
      </c>
    </row>
    <row r="63" spans="1:6" x14ac:dyDescent="0.55000000000000004">
      <c r="A63" s="3">
        <v>61</v>
      </c>
      <c r="B63" s="4" t="s">
        <v>140</v>
      </c>
      <c r="C63" s="5" t="s">
        <v>141</v>
      </c>
      <c r="D63" s="5" t="s">
        <v>111</v>
      </c>
      <c r="E63" s="3">
        <v>18</v>
      </c>
      <c r="F63" s="23">
        <v>1818000</v>
      </c>
    </row>
    <row r="64" spans="1:6" x14ac:dyDescent="0.55000000000000004">
      <c r="A64" s="3">
        <v>62</v>
      </c>
      <c r="B64" s="4" t="s">
        <v>144</v>
      </c>
      <c r="C64" s="5" t="s">
        <v>145</v>
      </c>
      <c r="D64" s="5" t="s">
        <v>25</v>
      </c>
      <c r="E64" s="3">
        <v>57</v>
      </c>
      <c r="F64" s="23">
        <v>6783000</v>
      </c>
    </row>
    <row r="65" spans="1:6" x14ac:dyDescent="0.55000000000000004">
      <c r="A65" s="3">
        <v>63</v>
      </c>
      <c r="B65" s="4" t="s">
        <v>146</v>
      </c>
      <c r="C65" s="5" t="s">
        <v>147</v>
      </c>
      <c r="D65" s="5" t="s">
        <v>19</v>
      </c>
      <c r="E65" s="3">
        <v>6</v>
      </c>
      <c r="F65" s="23">
        <v>348000</v>
      </c>
    </row>
    <row r="66" spans="1:6" x14ac:dyDescent="0.55000000000000004">
      <c r="A66" s="3">
        <v>64</v>
      </c>
      <c r="B66" s="4" t="s">
        <v>148</v>
      </c>
      <c r="C66" s="5" t="s">
        <v>149</v>
      </c>
      <c r="D66" s="5" t="s">
        <v>4</v>
      </c>
      <c r="E66" s="3">
        <v>2</v>
      </c>
      <c r="F66" s="23">
        <v>64000</v>
      </c>
    </row>
    <row r="67" spans="1:6" x14ac:dyDescent="0.55000000000000004">
      <c r="A67" s="3">
        <v>65</v>
      </c>
      <c r="B67" s="4" t="s">
        <v>150</v>
      </c>
      <c r="C67" s="5" t="s">
        <v>151</v>
      </c>
      <c r="D67" s="5" t="s">
        <v>25</v>
      </c>
      <c r="E67" s="3">
        <v>12</v>
      </c>
      <c r="F67" s="23">
        <v>144000</v>
      </c>
    </row>
    <row r="68" spans="1:6" x14ac:dyDescent="0.55000000000000004">
      <c r="A68" s="3">
        <v>66</v>
      </c>
      <c r="B68" s="4" t="s">
        <v>152</v>
      </c>
      <c r="C68" s="5" t="s">
        <v>153</v>
      </c>
      <c r="D68" s="5" t="s">
        <v>111</v>
      </c>
      <c r="E68" s="3">
        <v>3</v>
      </c>
      <c r="F68" s="23">
        <v>5</v>
      </c>
    </row>
    <row r="69" spans="1:6" x14ac:dyDescent="0.55000000000000004">
      <c r="A69" s="3">
        <v>67</v>
      </c>
      <c r="B69" s="4" t="s">
        <v>465</v>
      </c>
      <c r="C69" s="5" t="s">
        <v>582</v>
      </c>
      <c r="D69" s="5" t="s">
        <v>25</v>
      </c>
      <c r="E69" s="3">
        <v>2</v>
      </c>
      <c r="F69" s="23">
        <v>106000</v>
      </c>
    </row>
    <row r="70" spans="1:6" x14ac:dyDescent="0.55000000000000004">
      <c r="A70" s="3">
        <v>68</v>
      </c>
      <c r="B70" s="4" t="s">
        <v>477</v>
      </c>
      <c r="C70" s="5" t="s">
        <v>589</v>
      </c>
      <c r="D70" s="5" t="s">
        <v>25</v>
      </c>
      <c r="E70" s="3">
        <v>1</v>
      </c>
      <c r="F70" s="23">
        <v>115000</v>
      </c>
    </row>
    <row r="71" spans="1:6" x14ac:dyDescent="0.55000000000000004">
      <c r="A71" s="3">
        <v>69</v>
      </c>
      <c r="B71" s="4" t="s">
        <v>156</v>
      </c>
      <c r="C71" s="5" t="s">
        <v>157</v>
      </c>
      <c r="D71" s="5" t="s">
        <v>19</v>
      </c>
      <c r="E71" s="3">
        <v>4</v>
      </c>
      <c r="F71" s="23">
        <v>92000</v>
      </c>
    </row>
    <row r="72" spans="1:6" s="11" customFormat="1" ht="19.8" customHeight="1" x14ac:dyDescent="0.55000000000000004">
      <c r="A72" s="32" t="s">
        <v>14</v>
      </c>
      <c r="B72" s="33"/>
      <c r="C72" s="33"/>
      <c r="D72" s="33"/>
      <c r="E72" s="34"/>
      <c r="F72" s="10">
        <f>SUM(F3:F71)</f>
        <v>89804427.959300011</v>
      </c>
    </row>
    <row r="73" spans="1:6" s="11" customFormat="1" x14ac:dyDescent="0.55000000000000004">
      <c r="A73" s="22"/>
      <c r="B73" s="12"/>
      <c r="C73" s="12"/>
      <c r="D73" s="12"/>
      <c r="E73" s="12"/>
      <c r="F73" s="13"/>
    </row>
    <row r="74" spans="1:6" x14ac:dyDescent="0.55000000000000004">
      <c r="A74" s="14"/>
      <c r="B74" s="14"/>
      <c r="C74" s="11"/>
      <c r="D74" s="30" t="s">
        <v>15</v>
      </c>
      <c r="E74" s="30"/>
      <c r="F74" s="30"/>
    </row>
    <row r="75" spans="1:6" x14ac:dyDescent="0.55000000000000004">
      <c r="A75" s="14"/>
      <c r="B75" s="11"/>
      <c r="C75" s="11"/>
      <c r="D75" s="31">
        <v>46266</v>
      </c>
      <c r="E75" s="31"/>
      <c r="F75" s="31"/>
    </row>
    <row r="76" spans="1:6" x14ac:dyDescent="0.55000000000000004">
      <c r="D76" s="26" t="s">
        <v>16</v>
      </c>
      <c r="E76" s="26"/>
      <c r="F76" s="26"/>
    </row>
  </sheetData>
  <mergeCells count="5">
    <mergeCell ref="A72:E72"/>
    <mergeCell ref="D74:F74"/>
    <mergeCell ref="D75:F75"/>
    <mergeCell ref="D76:F76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0DD5-7777-4744-A53D-A7C407CAD1E0}">
  <dimension ref="A1:F72"/>
  <sheetViews>
    <sheetView workbookViewId="0">
      <selection activeCell="F7" sqref="F7"/>
    </sheetView>
  </sheetViews>
  <sheetFormatPr defaultRowHeight="18.600000000000001" x14ac:dyDescent="0.55000000000000004"/>
  <cols>
    <col min="1" max="1" width="5.6640625" style="17" bestFit="1" customWidth="1"/>
    <col min="2" max="2" width="9.77734375" style="16" customWidth="1"/>
    <col min="3" max="3" width="55" style="16" bestFit="1" customWidth="1"/>
    <col min="4" max="4" width="8.109375" style="16" bestFit="1" customWidth="1"/>
    <col min="5" max="5" width="6.5546875" style="17" bestFit="1" customWidth="1"/>
    <col min="6" max="6" width="15.77734375" style="18" customWidth="1"/>
    <col min="7" max="16384" width="8.88671875" style="16"/>
  </cols>
  <sheetData>
    <row r="1" spans="1:6" s="6" customFormat="1" ht="25.2" customHeight="1" x14ac:dyDescent="0.3">
      <c r="A1" s="27" t="s">
        <v>596</v>
      </c>
      <c r="B1" s="28"/>
      <c r="C1" s="28"/>
      <c r="D1" s="28"/>
      <c r="E1" s="28"/>
      <c r="F1" s="29"/>
    </row>
    <row r="2" spans="1:6" s="8" customFormat="1" x14ac:dyDescent="0.3">
      <c r="A2" s="1" t="s">
        <v>0</v>
      </c>
      <c r="B2" s="2" t="s">
        <v>1</v>
      </c>
      <c r="C2" s="1" t="s">
        <v>2</v>
      </c>
      <c r="D2" s="1" t="s">
        <v>3</v>
      </c>
      <c r="E2" s="7" t="s">
        <v>13</v>
      </c>
      <c r="F2" s="7" t="s">
        <v>12</v>
      </c>
    </row>
    <row r="3" spans="1:6" x14ac:dyDescent="0.55000000000000004">
      <c r="A3" s="3">
        <v>1</v>
      </c>
      <c r="B3" s="4" t="s">
        <v>17</v>
      </c>
      <c r="C3" s="5" t="s">
        <v>18</v>
      </c>
      <c r="D3" s="5" t="s">
        <v>19</v>
      </c>
      <c r="E3" s="3">
        <v>19</v>
      </c>
      <c r="F3" s="23">
        <v>76000</v>
      </c>
    </row>
    <row r="4" spans="1:6" x14ac:dyDescent="0.55000000000000004">
      <c r="A4" s="3">
        <v>2</v>
      </c>
      <c r="B4" s="4" t="s">
        <v>20</v>
      </c>
      <c r="C4" s="5" t="s">
        <v>21</v>
      </c>
      <c r="D4" s="5" t="s">
        <v>22</v>
      </c>
      <c r="E4" s="3">
        <v>1</v>
      </c>
      <c r="F4" s="23">
        <v>146000</v>
      </c>
    </row>
    <row r="5" spans="1:6" x14ac:dyDescent="0.55000000000000004">
      <c r="A5" s="3">
        <v>3</v>
      </c>
      <c r="B5" s="4" t="s">
        <v>23</v>
      </c>
      <c r="C5" s="5" t="s">
        <v>24</v>
      </c>
      <c r="D5" s="5" t="s">
        <v>25</v>
      </c>
      <c r="E5" s="3">
        <v>28</v>
      </c>
      <c r="F5" s="23">
        <v>889000</v>
      </c>
    </row>
    <row r="6" spans="1:6" x14ac:dyDescent="0.55000000000000004">
      <c r="A6" s="3">
        <v>4</v>
      </c>
      <c r="B6" s="4" t="s">
        <v>26</v>
      </c>
      <c r="C6" s="5" t="s">
        <v>27</v>
      </c>
      <c r="D6" s="5" t="s">
        <v>19</v>
      </c>
      <c r="E6" s="3">
        <v>264</v>
      </c>
      <c r="F6" s="23">
        <v>3884000</v>
      </c>
    </row>
    <row r="7" spans="1:6" x14ac:dyDescent="0.55000000000000004">
      <c r="A7" s="3">
        <v>5</v>
      </c>
      <c r="B7" s="4" t="s">
        <v>28</v>
      </c>
      <c r="C7" s="5" t="s">
        <v>29</v>
      </c>
      <c r="D7" s="5" t="s">
        <v>25</v>
      </c>
      <c r="E7" s="3">
        <v>26</v>
      </c>
      <c r="F7" s="23">
        <v>832000</v>
      </c>
    </row>
    <row r="8" spans="1:6" x14ac:dyDescent="0.55000000000000004">
      <c r="A8" s="3">
        <v>6</v>
      </c>
      <c r="B8" s="4" t="s">
        <v>32</v>
      </c>
      <c r="C8" s="5" t="s">
        <v>33</v>
      </c>
      <c r="D8" s="5" t="s">
        <v>25</v>
      </c>
      <c r="E8" s="3">
        <v>140</v>
      </c>
      <c r="F8" s="23">
        <v>1501000</v>
      </c>
    </row>
    <row r="9" spans="1:6" x14ac:dyDescent="0.55000000000000004">
      <c r="A9" s="3">
        <v>7</v>
      </c>
      <c r="B9" s="4" t="s">
        <v>34</v>
      </c>
      <c r="C9" s="5" t="s">
        <v>35</v>
      </c>
      <c r="D9" s="5" t="s">
        <v>25</v>
      </c>
      <c r="E9" s="3">
        <v>52</v>
      </c>
      <c r="F9" s="23">
        <v>832000</v>
      </c>
    </row>
    <row r="10" spans="1:6" s="11" customFormat="1" x14ac:dyDescent="0.55000000000000004">
      <c r="A10" s="3">
        <v>8</v>
      </c>
      <c r="B10" s="4" t="s">
        <v>36</v>
      </c>
      <c r="C10" s="5" t="s">
        <v>37</v>
      </c>
      <c r="D10" s="5" t="s">
        <v>25</v>
      </c>
      <c r="E10" s="3">
        <v>332</v>
      </c>
      <c r="F10" s="23">
        <v>3559000</v>
      </c>
    </row>
    <row r="11" spans="1:6" s="11" customFormat="1" x14ac:dyDescent="0.55000000000000004">
      <c r="A11" s="3">
        <v>9</v>
      </c>
      <c r="B11" s="4" t="s">
        <v>38</v>
      </c>
      <c r="C11" s="5" t="s">
        <v>39</v>
      </c>
      <c r="D11" s="5" t="s">
        <v>19</v>
      </c>
      <c r="E11" s="3">
        <v>42</v>
      </c>
      <c r="F11" s="23">
        <v>588000</v>
      </c>
    </row>
    <row r="12" spans="1:6" s="11" customFormat="1" x14ac:dyDescent="0.55000000000000004">
      <c r="A12" s="3">
        <v>10</v>
      </c>
      <c r="B12" s="4" t="s">
        <v>40</v>
      </c>
      <c r="C12" s="5" t="s">
        <v>41</v>
      </c>
      <c r="D12" s="5" t="s">
        <v>19</v>
      </c>
      <c r="E12" s="3">
        <v>537</v>
      </c>
      <c r="F12" s="23">
        <v>1962000</v>
      </c>
    </row>
    <row r="13" spans="1:6" s="11" customFormat="1" ht="19.8" customHeight="1" x14ac:dyDescent="0.55000000000000004">
      <c r="A13" s="3">
        <v>11</v>
      </c>
      <c r="B13" s="4" t="s">
        <v>42</v>
      </c>
      <c r="C13" s="5" t="s">
        <v>43</v>
      </c>
      <c r="D13" s="5" t="s">
        <v>25</v>
      </c>
      <c r="E13" s="3">
        <v>17</v>
      </c>
      <c r="F13" s="23">
        <v>167000</v>
      </c>
    </row>
    <row r="14" spans="1:6" s="11" customFormat="1" x14ac:dyDescent="0.55000000000000004">
      <c r="A14" s="3">
        <v>12</v>
      </c>
      <c r="B14" s="4" t="s">
        <v>44</v>
      </c>
      <c r="C14" s="5" t="s">
        <v>45</v>
      </c>
      <c r="D14" s="5" t="s">
        <v>4</v>
      </c>
      <c r="E14" s="3">
        <v>80</v>
      </c>
      <c r="F14" s="23">
        <v>2150000</v>
      </c>
    </row>
    <row r="15" spans="1:6" x14ac:dyDescent="0.55000000000000004">
      <c r="A15" s="3">
        <v>13</v>
      </c>
      <c r="B15" s="4" t="s">
        <v>46</v>
      </c>
      <c r="C15" s="5" t="s">
        <v>47</v>
      </c>
      <c r="D15" s="5" t="s">
        <v>4</v>
      </c>
      <c r="E15" s="3">
        <v>19</v>
      </c>
      <c r="F15" s="23">
        <v>3838000</v>
      </c>
    </row>
    <row r="16" spans="1:6" x14ac:dyDescent="0.55000000000000004">
      <c r="A16" s="3">
        <v>14</v>
      </c>
      <c r="B16" s="4" t="s">
        <v>48</v>
      </c>
      <c r="C16" s="5" t="s">
        <v>49</v>
      </c>
      <c r="D16" s="5" t="s">
        <v>19</v>
      </c>
      <c r="E16" s="3">
        <v>350</v>
      </c>
      <c r="F16" s="23">
        <v>6371000</v>
      </c>
    </row>
    <row r="17" spans="1:6" x14ac:dyDescent="0.55000000000000004">
      <c r="A17" s="3">
        <v>15</v>
      </c>
      <c r="B17" s="4" t="s">
        <v>50</v>
      </c>
      <c r="C17" s="5" t="s">
        <v>51</v>
      </c>
      <c r="D17" s="5" t="s">
        <v>19</v>
      </c>
      <c r="E17" s="3">
        <v>83</v>
      </c>
      <c r="F17" s="23">
        <v>956000</v>
      </c>
    </row>
    <row r="18" spans="1:6" x14ac:dyDescent="0.55000000000000004">
      <c r="A18" s="3">
        <v>16</v>
      </c>
      <c r="B18" s="4" t="s">
        <v>52</v>
      </c>
      <c r="C18" s="5" t="s">
        <v>53</v>
      </c>
      <c r="D18" s="5" t="s">
        <v>19</v>
      </c>
      <c r="E18" s="3">
        <v>296</v>
      </c>
      <c r="F18" s="23">
        <v>1725000</v>
      </c>
    </row>
    <row r="19" spans="1:6" x14ac:dyDescent="0.55000000000000004">
      <c r="A19" s="3">
        <v>17</v>
      </c>
      <c r="B19" s="4" t="s">
        <v>54</v>
      </c>
      <c r="C19" s="5" t="s">
        <v>55</v>
      </c>
      <c r="D19" s="5" t="s">
        <v>19</v>
      </c>
      <c r="E19" s="3">
        <v>371</v>
      </c>
      <c r="F19" s="23">
        <v>2574000</v>
      </c>
    </row>
    <row r="20" spans="1:6" x14ac:dyDescent="0.55000000000000004">
      <c r="A20" s="3">
        <v>18</v>
      </c>
      <c r="B20" s="4" t="s">
        <v>56</v>
      </c>
      <c r="C20" s="5" t="s">
        <v>57</v>
      </c>
      <c r="D20" s="5" t="s">
        <v>19</v>
      </c>
      <c r="E20" s="3">
        <v>309</v>
      </c>
      <c r="F20" s="23">
        <v>3991000</v>
      </c>
    </row>
    <row r="21" spans="1:6" x14ac:dyDescent="0.55000000000000004">
      <c r="A21" s="3">
        <v>19</v>
      </c>
      <c r="B21" s="4" t="s">
        <v>58</v>
      </c>
      <c r="C21" s="5" t="s">
        <v>59</v>
      </c>
      <c r="D21" s="5" t="s">
        <v>25</v>
      </c>
      <c r="E21" s="3">
        <v>56</v>
      </c>
      <c r="F21" s="23">
        <v>531999.99860000005</v>
      </c>
    </row>
    <row r="22" spans="1:6" x14ac:dyDescent="0.55000000000000004">
      <c r="A22" s="3">
        <v>20</v>
      </c>
      <c r="B22" s="4" t="s">
        <v>60</v>
      </c>
      <c r="C22" s="5" t="s">
        <v>61</v>
      </c>
      <c r="D22" s="5" t="s">
        <v>19</v>
      </c>
      <c r="E22" s="3">
        <v>394</v>
      </c>
      <c r="F22" s="23">
        <v>4695000</v>
      </c>
    </row>
    <row r="23" spans="1:6" x14ac:dyDescent="0.55000000000000004">
      <c r="A23" s="3">
        <v>21</v>
      </c>
      <c r="B23" s="4" t="s">
        <v>62</v>
      </c>
      <c r="C23" s="5" t="s">
        <v>63</v>
      </c>
      <c r="D23" s="5" t="s">
        <v>25</v>
      </c>
      <c r="E23" s="3">
        <v>45</v>
      </c>
      <c r="F23" s="23">
        <v>474000</v>
      </c>
    </row>
    <row r="24" spans="1:6" x14ac:dyDescent="0.55000000000000004">
      <c r="A24" s="3">
        <v>22</v>
      </c>
      <c r="B24" s="4" t="s">
        <v>64</v>
      </c>
      <c r="C24" s="5" t="s">
        <v>65</v>
      </c>
      <c r="D24" s="5" t="s">
        <v>66</v>
      </c>
      <c r="E24" s="3">
        <v>1167</v>
      </c>
      <c r="F24" s="23">
        <v>6858000</v>
      </c>
    </row>
    <row r="25" spans="1:6" x14ac:dyDescent="0.55000000000000004">
      <c r="A25" s="3">
        <v>23</v>
      </c>
      <c r="B25" s="4" t="s">
        <v>67</v>
      </c>
      <c r="C25" s="5" t="s">
        <v>68</v>
      </c>
      <c r="D25" s="5" t="s">
        <v>19</v>
      </c>
      <c r="E25" s="3">
        <v>1752</v>
      </c>
      <c r="F25" s="23">
        <v>9324000</v>
      </c>
    </row>
    <row r="26" spans="1:6" x14ac:dyDescent="0.55000000000000004">
      <c r="A26" s="3">
        <v>24</v>
      </c>
      <c r="B26" s="4" t="s">
        <v>69</v>
      </c>
      <c r="C26" s="5" t="s">
        <v>70</v>
      </c>
      <c r="D26" s="5" t="s">
        <v>25</v>
      </c>
      <c r="E26" s="3">
        <v>25</v>
      </c>
      <c r="F26" s="23">
        <v>266000</v>
      </c>
    </row>
    <row r="27" spans="1:6" x14ac:dyDescent="0.55000000000000004">
      <c r="A27" s="3">
        <v>25</v>
      </c>
      <c r="B27" s="4" t="s">
        <v>71</v>
      </c>
      <c r="C27" s="5" t="s">
        <v>72</v>
      </c>
      <c r="D27" s="5" t="s">
        <v>25</v>
      </c>
      <c r="E27" s="3">
        <v>54</v>
      </c>
      <c r="F27" s="23">
        <v>1080000</v>
      </c>
    </row>
    <row r="28" spans="1:6" x14ac:dyDescent="0.55000000000000004">
      <c r="A28" s="3">
        <v>26</v>
      </c>
      <c r="B28" s="4" t="s">
        <v>73</v>
      </c>
      <c r="C28" s="5" t="s">
        <v>74</v>
      </c>
      <c r="D28" s="5" t="s">
        <v>19</v>
      </c>
      <c r="E28" s="3">
        <v>334</v>
      </c>
      <c r="F28" s="23">
        <v>942000</v>
      </c>
    </row>
    <row r="29" spans="1:6" x14ac:dyDescent="0.55000000000000004">
      <c r="A29" s="3">
        <v>27</v>
      </c>
      <c r="B29" s="4" t="s">
        <v>75</v>
      </c>
      <c r="C29" s="5" t="s">
        <v>76</v>
      </c>
      <c r="D29" s="5" t="s">
        <v>4</v>
      </c>
      <c r="E29" s="3">
        <v>6</v>
      </c>
      <c r="F29" s="23">
        <v>144000</v>
      </c>
    </row>
    <row r="30" spans="1:6" x14ac:dyDescent="0.55000000000000004">
      <c r="A30" s="3">
        <v>28</v>
      </c>
      <c r="B30" s="4" t="s">
        <v>77</v>
      </c>
      <c r="C30" s="5" t="s">
        <v>78</v>
      </c>
      <c r="D30" s="5" t="s">
        <v>25</v>
      </c>
      <c r="E30" s="3">
        <v>12</v>
      </c>
      <c r="F30" s="23">
        <v>129000</v>
      </c>
    </row>
    <row r="31" spans="1:6" x14ac:dyDescent="0.55000000000000004">
      <c r="A31" s="3">
        <v>29</v>
      </c>
      <c r="B31" s="4" t="s">
        <v>79</v>
      </c>
      <c r="C31" s="5" t="s">
        <v>80</v>
      </c>
      <c r="D31" s="5" t="s">
        <v>4</v>
      </c>
      <c r="E31" s="3">
        <v>7</v>
      </c>
      <c r="F31" s="23">
        <v>1414000</v>
      </c>
    </row>
    <row r="32" spans="1:6" x14ac:dyDescent="0.55000000000000004">
      <c r="A32" s="3">
        <v>30</v>
      </c>
      <c r="B32" s="4" t="s">
        <v>81</v>
      </c>
      <c r="C32" s="5" t="s">
        <v>82</v>
      </c>
      <c r="D32" s="5" t="s">
        <v>25</v>
      </c>
      <c r="E32" s="3">
        <v>37</v>
      </c>
      <c r="F32" s="23">
        <v>663000</v>
      </c>
    </row>
    <row r="33" spans="1:6" x14ac:dyDescent="0.55000000000000004">
      <c r="A33" s="3">
        <v>31</v>
      </c>
      <c r="B33" s="4" t="s">
        <v>83</v>
      </c>
      <c r="C33" s="5" t="s">
        <v>84</v>
      </c>
      <c r="D33" s="5" t="s">
        <v>25</v>
      </c>
      <c r="E33" s="3">
        <v>17</v>
      </c>
      <c r="F33" s="23">
        <v>663000</v>
      </c>
    </row>
    <row r="34" spans="1:6" x14ac:dyDescent="0.55000000000000004">
      <c r="A34" s="3">
        <v>32</v>
      </c>
      <c r="B34" s="4" t="s">
        <v>87</v>
      </c>
      <c r="C34" s="5" t="s">
        <v>88</v>
      </c>
      <c r="D34" s="5" t="s">
        <v>25</v>
      </c>
      <c r="E34" s="3">
        <v>165</v>
      </c>
      <c r="F34" s="23">
        <v>3093999.9978</v>
      </c>
    </row>
    <row r="35" spans="1:6" x14ac:dyDescent="0.55000000000000004">
      <c r="A35" s="3">
        <v>33</v>
      </c>
      <c r="B35" s="4" t="s">
        <v>89</v>
      </c>
      <c r="C35" s="5" t="s">
        <v>90</v>
      </c>
      <c r="D35" s="5" t="s">
        <v>19</v>
      </c>
      <c r="E35" s="3">
        <v>134</v>
      </c>
      <c r="F35" s="23">
        <v>2814000</v>
      </c>
    </row>
    <row r="36" spans="1:6" x14ac:dyDescent="0.55000000000000004">
      <c r="A36" s="3">
        <v>34</v>
      </c>
      <c r="B36" s="4" t="s">
        <v>91</v>
      </c>
      <c r="C36" s="5" t="s">
        <v>92</v>
      </c>
      <c r="D36" s="5" t="s">
        <v>25</v>
      </c>
      <c r="E36" s="3">
        <v>15</v>
      </c>
      <c r="F36" s="23">
        <v>300000</v>
      </c>
    </row>
    <row r="37" spans="1:6" x14ac:dyDescent="0.55000000000000004">
      <c r="A37" s="3">
        <v>35</v>
      </c>
      <c r="B37" s="4" t="s">
        <v>93</v>
      </c>
      <c r="C37" s="5" t="s">
        <v>94</v>
      </c>
      <c r="D37" s="5" t="s">
        <v>25</v>
      </c>
      <c r="E37" s="3">
        <v>11</v>
      </c>
      <c r="F37" s="23">
        <v>231000</v>
      </c>
    </row>
    <row r="38" spans="1:6" x14ac:dyDescent="0.55000000000000004">
      <c r="A38" s="3">
        <v>36</v>
      </c>
      <c r="B38" s="4" t="s">
        <v>95</v>
      </c>
      <c r="C38" s="5" t="s">
        <v>96</v>
      </c>
      <c r="D38" s="5" t="s">
        <v>25</v>
      </c>
      <c r="E38" s="3">
        <v>41</v>
      </c>
      <c r="F38" s="23">
        <v>980000.00040000002</v>
      </c>
    </row>
    <row r="39" spans="1:6" x14ac:dyDescent="0.55000000000000004">
      <c r="A39" s="3">
        <v>37</v>
      </c>
      <c r="B39" s="4" t="s">
        <v>97</v>
      </c>
      <c r="C39" s="5" t="s">
        <v>98</v>
      </c>
      <c r="D39" s="5" t="s">
        <v>25</v>
      </c>
      <c r="E39" s="3">
        <v>57</v>
      </c>
      <c r="F39" s="23">
        <v>1505999.9987999999</v>
      </c>
    </row>
    <row r="40" spans="1:6" x14ac:dyDescent="0.55000000000000004">
      <c r="A40" s="3">
        <v>38</v>
      </c>
      <c r="B40" s="4" t="s">
        <v>99</v>
      </c>
      <c r="C40" s="5" t="s">
        <v>100</v>
      </c>
      <c r="D40" s="5" t="s">
        <v>25</v>
      </c>
      <c r="E40" s="3">
        <v>6</v>
      </c>
      <c r="F40" s="23">
        <v>222000</v>
      </c>
    </row>
    <row r="41" spans="1:6" x14ac:dyDescent="0.55000000000000004">
      <c r="A41" s="3">
        <v>39</v>
      </c>
      <c r="B41" s="4" t="s">
        <v>101</v>
      </c>
      <c r="C41" s="5" t="s">
        <v>102</v>
      </c>
      <c r="D41" s="5" t="s">
        <v>25</v>
      </c>
      <c r="E41" s="3">
        <v>18</v>
      </c>
      <c r="F41" s="23">
        <v>828000</v>
      </c>
    </row>
    <row r="42" spans="1:6" x14ac:dyDescent="0.55000000000000004">
      <c r="A42" s="3">
        <v>40</v>
      </c>
      <c r="B42" s="4" t="s">
        <v>103</v>
      </c>
      <c r="C42" s="5" t="s">
        <v>104</v>
      </c>
      <c r="D42" s="5" t="s">
        <v>19</v>
      </c>
      <c r="E42" s="3">
        <v>308</v>
      </c>
      <c r="F42" s="23">
        <v>4291000</v>
      </c>
    </row>
    <row r="43" spans="1:6" x14ac:dyDescent="0.55000000000000004">
      <c r="A43" s="3">
        <v>41</v>
      </c>
      <c r="B43" s="4" t="s">
        <v>105</v>
      </c>
      <c r="C43" s="5" t="s">
        <v>106</v>
      </c>
      <c r="D43" s="5" t="s">
        <v>19</v>
      </c>
      <c r="E43" s="3">
        <v>179</v>
      </c>
      <c r="F43" s="23">
        <v>1962000</v>
      </c>
    </row>
    <row r="44" spans="1:6" x14ac:dyDescent="0.55000000000000004">
      <c r="A44" s="3">
        <v>42</v>
      </c>
      <c r="B44" s="4" t="s">
        <v>570</v>
      </c>
      <c r="C44" s="5" t="s">
        <v>581</v>
      </c>
      <c r="D44" s="5" t="s">
        <v>25</v>
      </c>
      <c r="E44" s="3">
        <v>7</v>
      </c>
      <c r="F44" s="23">
        <v>210845.59779999999</v>
      </c>
    </row>
    <row r="45" spans="1:6" x14ac:dyDescent="0.55000000000000004">
      <c r="A45" s="3">
        <v>43</v>
      </c>
      <c r="B45" s="4" t="s">
        <v>107</v>
      </c>
      <c r="C45" s="5" t="s">
        <v>108</v>
      </c>
      <c r="D45" s="5" t="s">
        <v>25</v>
      </c>
      <c r="E45" s="3">
        <v>17</v>
      </c>
      <c r="F45" s="23">
        <v>901000</v>
      </c>
    </row>
    <row r="46" spans="1:6" x14ac:dyDescent="0.55000000000000004">
      <c r="A46" s="3">
        <v>44</v>
      </c>
      <c r="B46" s="4" t="s">
        <v>109</v>
      </c>
      <c r="C46" s="5" t="s">
        <v>110</v>
      </c>
      <c r="D46" s="5" t="s">
        <v>111</v>
      </c>
      <c r="E46" s="3">
        <v>39</v>
      </c>
      <c r="F46" s="23">
        <v>2167999.9992</v>
      </c>
    </row>
    <row r="47" spans="1:6" x14ac:dyDescent="0.55000000000000004">
      <c r="A47" s="3">
        <v>45</v>
      </c>
      <c r="B47" s="4" t="s">
        <v>112</v>
      </c>
      <c r="C47" s="5" t="s">
        <v>113</v>
      </c>
      <c r="D47" s="5" t="s">
        <v>25</v>
      </c>
      <c r="E47" s="3">
        <v>2</v>
      </c>
      <c r="F47" s="23">
        <v>46000</v>
      </c>
    </row>
    <row r="48" spans="1:6" x14ac:dyDescent="0.55000000000000004">
      <c r="A48" s="3">
        <v>46</v>
      </c>
      <c r="B48" s="4" t="s">
        <v>114</v>
      </c>
      <c r="C48" s="5" t="s">
        <v>115</v>
      </c>
      <c r="D48" s="5" t="s">
        <v>25</v>
      </c>
      <c r="E48" s="3">
        <v>21</v>
      </c>
      <c r="F48" s="23">
        <v>945000</v>
      </c>
    </row>
    <row r="49" spans="1:6" x14ac:dyDescent="0.55000000000000004">
      <c r="A49" s="3">
        <v>47</v>
      </c>
      <c r="B49" s="4" t="s">
        <v>116</v>
      </c>
      <c r="C49" s="5" t="s">
        <v>117</v>
      </c>
      <c r="D49" s="5" t="s">
        <v>111</v>
      </c>
      <c r="E49" s="3">
        <v>3</v>
      </c>
      <c r="F49" s="23">
        <v>210000</v>
      </c>
    </row>
    <row r="50" spans="1:6" x14ac:dyDescent="0.55000000000000004">
      <c r="A50" s="3">
        <v>48</v>
      </c>
      <c r="B50" s="4" t="s">
        <v>118</v>
      </c>
      <c r="C50" s="5" t="s">
        <v>119</v>
      </c>
      <c r="D50" s="5" t="s">
        <v>25</v>
      </c>
      <c r="E50" s="3">
        <v>71</v>
      </c>
      <c r="F50" s="23">
        <v>2473000</v>
      </c>
    </row>
    <row r="51" spans="1:6" x14ac:dyDescent="0.55000000000000004">
      <c r="A51" s="3">
        <v>49</v>
      </c>
      <c r="B51" s="4" t="s">
        <v>120</v>
      </c>
      <c r="C51" s="5" t="s">
        <v>121</v>
      </c>
      <c r="D51" s="5" t="s">
        <v>19</v>
      </c>
      <c r="E51" s="3">
        <v>208</v>
      </c>
      <c r="F51" s="23">
        <v>4064000</v>
      </c>
    </row>
    <row r="52" spans="1:6" x14ac:dyDescent="0.55000000000000004">
      <c r="A52" s="3">
        <v>50</v>
      </c>
      <c r="B52" s="4" t="s">
        <v>124</v>
      </c>
      <c r="C52" s="5" t="s">
        <v>125</v>
      </c>
      <c r="D52" s="5" t="s">
        <v>111</v>
      </c>
      <c r="E52" s="3">
        <v>21</v>
      </c>
      <c r="F52" s="23">
        <v>1218000</v>
      </c>
    </row>
    <row r="53" spans="1:6" x14ac:dyDescent="0.55000000000000004">
      <c r="A53" s="3">
        <v>51</v>
      </c>
      <c r="B53" s="4" t="s">
        <v>466</v>
      </c>
      <c r="C53" s="5" t="s">
        <v>587</v>
      </c>
      <c r="D53" s="5" t="s">
        <v>25</v>
      </c>
      <c r="E53" s="3">
        <v>3</v>
      </c>
      <c r="F53" s="23">
        <v>357000</v>
      </c>
    </row>
    <row r="54" spans="1:6" x14ac:dyDescent="0.55000000000000004">
      <c r="A54" s="3">
        <v>52</v>
      </c>
      <c r="B54" s="4" t="s">
        <v>126</v>
      </c>
      <c r="C54" s="5" t="s">
        <v>127</v>
      </c>
      <c r="D54" s="5" t="s">
        <v>19</v>
      </c>
      <c r="E54" s="3">
        <v>140</v>
      </c>
      <c r="F54" s="23">
        <v>1608000</v>
      </c>
    </row>
    <row r="55" spans="1:6" x14ac:dyDescent="0.55000000000000004">
      <c r="A55" s="3">
        <v>53</v>
      </c>
      <c r="B55" s="4" t="s">
        <v>128</v>
      </c>
      <c r="C55" s="5" t="s">
        <v>129</v>
      </c>
      <c r="D55" s="5" t="s">
        <v>4</v>
      </c>
      <c r="E55" s="3">
        <v>65</v>
      </c>
      <c r="F55" s="23">
        <v>10855000</v>
      </c>
    </row>
    <row r="56" spans="1:6" x14ac:dyDescent="0.55000000000000004">
      <c r="A56" s="3">
        <v>54</v>
      </c>
      <c r="B56" s="4" t="s">
        <v>130</v>
      </c>
      <c r="C56" s="5" t="s">
        <v>131</v>
      </c>
      <c r="D56" s="5" t="s">
        <v>5</v>
      </c>
      <c r="E56" s="3">
        <v>152</v>
      </c>
      <c r="F56" s="23">
        <v>1658999.9998000001</v>
      </c>
    </row>
    <row r="57" spans="1:6" x14ac:dyDescent="0.55000000000000004">
      <c r="A57" s="3">
        <v>55</v>
      </c>
      <c r="B57" s="4" t="s">
        <v>132</v>
      </c>
      <c r="C57" s="5" t="s">
        <v>133</v>
      </c>
      <c r="D57" s="5" t="s">
        <v>4</v>
      </c>
      <c r="E57" s="3">
        <v>12</v>
      </c>
      <c r="F57" s="23">
        <v>2508000</v>
      </c>
    </row>
    <row r="58" spans="1:6" x14ac:dyDescent="0.55000000000000004">
      <c r="A58" s="3">
        <v>56</v>
      </c>
      <c r="B58" s="4" t="s">
        <v>134</v>
      </c>
      <c r="C58" s="5" t="s">
        <v>135</v>
      </c>
      <c r="D58" s="5" t="s">
        <v>4</v>
      </c>
      <c r="E58" s="3">
        <v>5</v>
      </c>
      <c r="F58" s="23">
        <v>2850000</v>
      </c>
    </row>
    <row r="59" spans="1:6" x14ac:dyDescent="0.55000000000000004">
      <c r="A59" s="3">
        <v>57</v>
      </c>
      <c r="B59" s="4" t="s">
        <v>136</v>
      </c>
      <c r="C59" s="5" t="s">
        <v>137</v>
      </c>
      <c r="D59" s="5" t="s">
        <v>66</v>
      </c>
      <c r="E59" s="3">
        <v>12</v>
      </c>
      <c r="F59" s="23">
        <v>384000</v>
      </c>
    </row>
    <row r="60" spans="1:6" x14ac:dyDescent="0.55000000000000004">
      <c r="A60" s="3">
        <v>58</v>
      </c>
      <c r="B60" s="4" t="s">
        <v>138</v>
      </c>
      <c r="C60" s="5" t="s">
        <v>139</v>
      </c>
      <c r="D60" s="5" t="s">
        <v>19</v>
      </c>
      <c r="E60" s="3">
        <v>88</v>
      </c>
      <c r="F60" s="23">
        <v>2182000</v>
      </c>
    </row>
    <row r="61" spans="1:6" x14ac:dyDescent="0.55000000000000004">
      <c r="A61" s="3">
        <v>59</v>
      </c>
      <c r="B61" s="4" t="s">
        <v>140</v>
      </c>
      <c r="C61" s="5" t="s">
        <v>141</v>
      </c>
      <c r="D61" s="5" t="s">
        <v>111</v>
      </c>
      <c r="E61" s="3">
        <v>5</v>
      </c>
      <c r="F61" s="23">
        <v>505000</v>
      </c>
    </row>
    <row r="62" spans="1:6" x14ac:dyDescent="0.55000000000000004">
      <c r="A62" s="3">
        <v>60</v>
      </c>
      <c r="B62" s="4" t="s">
        <v>144</v>
      </c>
      <c r="C62" s="5" t="s">
        <v>145</v>
      </c>
      <c r="D62" s="5" t="s">
        <v>25</v>
      </c>
      <c r="E62" s="3">
        <v>27</v>
      </c>
      <c r="F62" s="23">
        <v>3213000</v>
      </c>
    </row>
    <row r="63" spans="1:6" x14ac:dyDescent="0.55000000000000004">
      <c r="A63" s="3">
        <v>61</v>
      </c>
      <c r="B63" s="4" t="s">
        <v>146</v>
      </c>
      <c r="C63" s="5" t="s">
        <v>147</v>
      </c>
      <c r="D63" s="5" t="s">
        <v>19</v>
      </c>
      <c r="E63" s="3">
        <v>103</v>
      </c>
      <c r="F63" s="23">
        <v>5938000</v>
      </c>
    </row>
    <row r="64" spans="1:6" x14ac:dyDescent="0.55000000000000004">
      <c r="A64" s="3">
        <v>62</v>
      </c>
      <c r="B64" s="4" t="s">
        <v>150</v>
      </c>
      <c r="C64" s="5" t="s">
        <v>151</v>
      </c>
      <c r="D64" s="5" t="s">
        <v>25</v>
      </c>
      <c r="E64" s="3">
        <v>18</v>
      </c>
      <c r="F64" s="23">
        <v>216000</v>
      </c>
    </row>
    <row r="65" spans="1:6" x14ac:dyDescent="0.55000000000000004">
      <c r="A65" s="3">
        <v>63</v>
      </c>
      <c r="B65" s="4" t="s">
        <v>152</v>
      </c>
      <c r="C65" s="5" t="s">
        <v>153</v>
      </c>
      <c r="D65" s="5" t="s">
        <v>111</v>
      </c>
      <c r="E65" s="3">
        <v>8</v>
      </c>
      <c r="F65" s="23">
        <v>8</v>
      </c>
    </row>
    <row r="66" spans="1:6" x14ac:dyDescent="0.55000000000000004">
      <c r="A66" s="3">
        <v>64</v>
      </c>
      <c r="B66" s="4" t="s">
        <v>465</v>
      </c>
      <c r="C66" s="5" t="s">
        <v>582</v>
      </c>
      <c r="D66" s="5" t="s">
        <v>25</v>
      </c>
      <c r="E66" s="3">
        <v>3</v>
      </c>
      <c r="F66" s="23">
        <v>159000</v>
      </c>
    </row>
    <row r="67" spans="1:6" x14ac:dyDescent="0.55000000000000004">
      <c r="A67" s="3">
        <v>65</v>
      </c>
      <c r="B67" s="4" t="s">
        <v>156</v>
      </c>
      <c r="C67" s="5" t="s">
        <v>157</v>
      </c>
      <c r="D67" s="5" t="s">
        <v>19</v>
      </c>
      <c r="E67" s="3">
        <v>27</v>
      </c>
      <c r="F67" s="23">
        <v>621000</v>
      </c>
    </row>
    <row r="68" spans="1:6" s="11" customFormat="1" ht="19.8" customHeight="1" x14ac:dyDescent="0.55000000000000004">
      <c r="A68" s="32" t="s">
        <v>14</v>
      </c>
      <c r="B68" s="33"/>
      <c r="C68" s="33"/>
      <c r="D68" s="33"/>
      <c r="E68" s="34"/>
      <c r="F68" s="10">
        <f>SUM(F3:F67)</f>
        <v>124743853.5924</v>
      </c>
    </row>
    <row r="69" spans="1:6" s="11" customFormat="1" x14ac:dyDescent="0.55000000000000004">
      <c r="A69" s="22"/>
      <c r="B69" s="12"/>
      <c r="C69" s="12"/>
      <c r="D69" s="12"/>
      <c r="E69" s="12"/>
      <c r="F69" s="13"/>
    </row>
    <row r="70" spans="1:6" x14ac:dyDescent="0.55000000000000004">
      <c r="A70" s="14"/>
      <c r="B70" s="14"/>
      <c r="C70" s="11"/>
      <c r="D70" s="30" t="s">
        <v>15</v>
      </c>
      <c r="E70" s="30"/>
      <c r="F70" s="30"/>
    </row>
    <row r="71" spans="1:6" x14ac:dyDescent="0.55000000000000004">
      <c r="A71" s="14"/>
      <c r="B71" s="11"/>
      <c r="C71" s="11"/>
      <c r="D71" s="31">
        <v>46266</v>
      </c>
      <c r="E71" s="31"/>
      <c r="F71" s="31"/>
    </row>
    <row r="72" spans="1:6" x14ac:dyDescent="0.55000000000000004">
      <c r="D72" s="26" t="s">
        <v>16</v>
      </c>
      <c r="E72" s="26"/>
      <c r="F72" s="26"/>
    </row>
  </sheetData>
  <mergeCells count="5">
    <mergeCell ref="A68:E68"/>
    <mergeCell ref="D70:F70"/>
    <mergeCell ref="D71:F71"/>
    <mergeCell ref="D72:F7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SSA1</vt:lpstr>
      <vt:lpstr>SSA2</vt:lpstr>
      <vt:lpstr>SSA3</vt:lpstr>
      <vt:lpstr>SSA5</vt:lpstr>
      <vt:lpstr>SSA6</vt:lpstr>
      <vt:lpstr>SSA7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Phikhounthong SINGMUENGKHAM</dc:creator>
  <cp:lastModifiedBy>Phikhounthong SINGMUENGKHAM</cp:lastModifiedBy>
  <dcterms:created xsi:type="dcterms:W3CDTF">2026-05-04T04:08:44Z</dcterms:created>
  <dcterms:modified xsi:type="dcterms:W3CDTF">2026-09-02T02:17:35Z</dcterms:modified>
</cp:coreProperties>
</file>